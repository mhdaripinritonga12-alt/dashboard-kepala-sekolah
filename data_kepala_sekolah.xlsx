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dashboard\"/>
    </mc:Choice>
  </mc:AlternateContent>
  <xr:revisionPtr revIDLastSave="0" documentId="8_{A768F41C-DFE6-4F52-B8BE-8CC696F0356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shboard_Kepala_Sekolah" sheetId="1" r:id="rId1"/>
  </sheets>
  <calcPr calcId="191029"/>
</workbook>
</file>

<file path=xl/calcChain.xml><?xml version="1.0" encoding="utf-8"?>
<calcChain xmlns="http://schemas.openxmlformats.org/spreadsheetml/2006/main">
  <c r="K8" i="1" l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L8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J4" i="1"/>
  <c r="K4" i="1" s="1"/>
  <c r="J5" i="1"/>
  <c r="K5" i="1" s="1"/>
  <c r="J8" i="1"/>
  <c r="J9" i="1"/>
  <c r="L9" i="1" s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H2" i="1"/>
  <c r="J2" i="1" s="1"/>
  <c r="L2" i="1" s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9" i="1"/>
  <c r="H8" i="1"/>
  <c r="H7" i="1"/>
  <c r="J7" i="1" s="1"/>
  <c r="H6" i="1"/>
  <c r="J6" i="1" s="1"/>
  <c r="H5" i="1"/>
  <c r="H4" i="1"/>
  <c r="H3" i="1"/>
  <c r="J3" i="1" s="1"/>
  <c r="L3" i="1" s="1"/>
  <c r="L4" i="1" l="1"/>
  <c r="K7" i="1"/>
  <c r="L7" i="1"/>
  <c r="K6" i="1"/>
  <c r="L6" i="1"/>
  <c r="L5" i="1"/>
  <c r="K2" i="1"/>
  <c r="K3" i="1"/>
</calcChain>
</file>

<file path=xl/sharedStrings.xml><?xml version="1.0" encoding="utf-8"?>
<sst xmlns="http://schemas.openxmlformats.org/spreadsheetml/2006/main" count="1748" uniqueCount="764">
  <si>
    <t>No</t>
  </si>
  <si>
    <t>Nama Kepala Sekolah</t>
  </si>
  <si>
    <t>NIP</t>
  </si>
  <si>
    <t>Jenjang</t>
  </si>
  <si>
    <t>Nama Sekolah</t>
  </si>
  <si>
    <t>Tahun Pengangkatan</t>
  </si>
  <si>
    <t>Tahun Berjalan</t>
  </si>
  <si>
    <t>Status Periode</t>
  </si>
  <si>
    <t>1965xxxx</t>
  </si>
  <si>
    <t>SMA</t>
  </si>
  <si>
    <t>SMK</t>
  </si>
  <si>
    <t>SLB</t>
  </si>
  <si>
    <t>SELAGUSTI RANTIO SORBALITAN SIHOTANG, S.Pd</t>
  </si>
  <si>
    <t>RAHMAD SARAGI, S.Pd</t>
  </si>
  <si>
    <t>PALTI MARUDUT HUTASOIT, S.Pd, M.T.</t>
  </si>
  <si>
    <t>RITA HARTATI, S.S, M.S</t>
  </si>
  <si>
    <t>FRANS HERBERT CHRISTOPEL, S.Pd</t>
  </si>
  <si>
    <t>DUMPANG PARLUHUTAN, S.Pd</t>
  </si>
  <si>
    <t>RUSMAIDA BANCIN, S.Pd</t>
  </si>
  <si>
    <t>IRMA APRILDA SINAGA, S.Pd</t>
  </si>
  <si>
    <t>MINNATIANI, S.Pd, M.Pd</t>
  </si>
  <si>
    <t>INSAN KAMIL, S Pd</t>
  </si>
  <si>
    <t>FEBRIZAL AHMADI NASUTION, ST</t>
  </si>
  <si>
    <t>JUNIARTI ELFRIDA SITUMEANG, S.Pd, M.Pd</t>
  </si>
  <si>
    <t>RENCUS BENYAMIN SINABARIBA, SS, M.Pd</t>
  </si>
  <si>
    <t>KARYAWAN KELIAT, S.Si, M.Pd</t>
  </si>
  <si>
    <t>EVI JULIANI, S.Pd</t>
  </si>
  <si>
    <t>ABDI MUSKARYA SARAGIH, S.Pd, M.Pd</t>
  </si>
  <si>
    <t>SUYONO, S.Pd</t>
  </si>
  <si>
    <t>TETI DIAN SARI, S.Pd, M.Pd</t>
  </si>
  <si>
    <t>DAULAT SIREGAR, S.Pd, M.Pd, M.Si</t>
  </si>
  <si>
    <t>RINI ANDRIANI, S.Pd, M.Or</t>
  </si>
  <si>
    <t>EKA SRI WAHYUNI PURBA, S.Pd, M.Si</t>
  </si>
  <si>
    <t>RAFIAH, S.Pd, M.Si</t>
  </si>
  <si>
    <t>ELFRIDA MANURUNG, S.Pd, M.Pd</t>
  </si>
  <si>
    <t>SUSIANTO, S.Pd, M.Si</t>
  </si>
  <si>
    <t>SONDANG TOGILAHI SILABAN, S.Pd</t>
  </si>
  <si>
    <t>SITI HAJAR, S.Pd</t>
  </si>
  <si>
    <t>THOMAS ABDI GM, S.Pd</t>
  </si>
  <si>
    <t>SRI ARTINA GINTING, S.Pd</t>
  </si>
  <si>
    <t>JULIANA BR SITEPU, S.Pd, M.Pd</t>
  </si>
  <si>
    <t>SYAHRIZAL GINTING, S.Pd</t>
  </si>
  <si>
    <t>AGUSTINA, S.Ag</t>
  </si>
  <si>
    <t>ANDREAS TELAUMBANUA, S.Pd</t>
  </si>
  <si>
    <t>ALI MUKHTAR HARAHAP, S.Pd, M.Or</t>
  </si>
  <si>
    <t>TIANAS SIMANJUNTAK, S.Pd, M.Si</t>
  </si>
  <si>
    <t>DINA LESTARIDA TAMPUBOLON, S.Pd</t>
  </si>
  <si>
    <t>SONDANG SILALAHI, S.Pd., M.M</t>
  </si>
  <si>
    <t>PIRNANDO NAIBAHO, S.Pd</t>
  </si>
  <si>
    <t>KHAIRUN NISA, M.Pdi, S.Pd.I, S.Ag</t>
  </si>
  <si>
    <t>FITHRI INDAWAHYUNI, M.Si</t>
  </si>
  <si>
    <t>RIMMARITA PURBA, S.Pd, M.Si</t>
  </si>
  <si>
    <t>SASMITA SITOHANG, S.Pd, M.Ak</t>
  </si>
  <si>
    <t>ROSNITA, S.Pd</t>
  </si>
  <si>
    <t>MARULI TUA  SIMAMORA, S.Pd</t>
  </si>
  <si>
    <t>KALVIN GINTING, S.Pd</t>
  </si>
  <si>
    <t>JAHRA TATI  BANUREA, S.Pd</t>
  </si>
  <si>
    <t>MERIANNA  SIHOTANG, S.Pd</t>
  </si>
  <si>
    <t>JASPER SIKETTANG, S.Pd, M.Psi</t>
  </si>
  <si>
    <t>SURYA DELI BINTANG, S.Pd.I</t>
  </si>
  <si>
    <t>UDI YANRI GORAT, S.Pd</t>
  </si>
  <si>
    <t>FELIX EKARISTA, S.Pd, M.S</t>
  </si>
  <si>
    <t>RATNA LESTARI BR SIANTURI, S.Pd</t>
  </si>
  <si>
    <t>NORMAWATI MARTIANA GINTING, S.Pd</t>
  </si>
  <si>
    <t>RIDUAN  PARDEDE, S.Th, M.Pd.K</t>
  </si>
  <si>
    <t>JONES SALMON PINEM, S.Pd</t>
  </si>
  <si>
    <t>JASAHAT SIDAURUK, S.Pd</t>
  </si>
  <si>
    <t>BERLIANA I SIGALINGGING, S.Pd</t>
  </si>
  <si>
    <t>RONALD PASARIBU, S.Pd, M.Si</t>
  </si>
  <si>
    <t>SAMSON GINTING, S.Pd, M.Pd</t>
  </si>
  <si>
    <t>ROBERT JAN PINEM, S.Si</t>
  </si>
  <si>
    <t>DORNAL M TUA SILALAHI, S.Pd</t>
  </si>
  <si>
    <t>MUKHLIS, SE</t>
  </si>
  <si>
    <t>IRWAN, S.Pd</t>
  </si>
  <si>
    <t>YOGI SANTOSO, S.Pd, M.M</t>
  </si>
  <si>
    <t>IRWAN EFENDI SIREGAR, M.Pd., S.Pd</t>
  </si>
  <si>
    <t>RESTI AULIA, S.Pd</t>
  </si>
  <si>
    <t>JUNAIDI NGATEMAN, S.PD.I, M.Psi</t>
  </si>
  <si>
    <t>FRANDIKA SINAMBELA, S.Pd</t>
  </si>
  <si>
    <t>MUHAMMAD ALI, S.Pd, MM</t>
  </si>
  <si>
    <t>NAZRI IRAWAN, S.Pd</t>
  </si>
  <si>
    <t>TAUFIK MUSTIKA SIREGAR, S.Pd.I</t>
  </si>
  <si>
    <t>WAN FAHMI AZRUDI NASUTION, S.Kom</t>
  </si>
  <si>
    <t>WICAKSONO, S.Pd</t>
  </si>
  <si>
    <t>DINA LESTARI, S.Pd</t>
  </si>
  <si>
    <t>RAHMA, S.Pd.I, M.Pd</t>
  </si>
  <si>
    <t>JULIANA, S.Pd</t>
  </si>
  <si>
    <t>JULIANI, SE</t>
  </si>
  <si>
    <t>MAULINA SIREGAR, S.Pd, M.Pd</t>
  </si>
  <si>
    <t>ANDI KURNIAWAN MARPAUNG, S.Pd, M.Pd</t>
  </si>
  <si>
    <t>DWI RAHAYU, S.Pd</t>
  </si>
  <si>
    <t>DEPSON BUTAR BUTAR, S.Pd.</t>
  </si>
  <si>
    <t>SEPTI SUSANTI PUTRI, S.Pd</t>
  </si>
  <si>
    <t>SINTA MARIANA TAMBUNSARIBU, S.Pd</t>
  </si>
  <si>
    <t>MIDIN  BANGUN, S.Pd</t>
  </si>
  <si>
    <t>HORAS JUDIAN MANURUNG, S.Pd</t>
  </si>
  <si>
    <t>FULMEN PINTU BATU, S.Pd</t>
  </si>
  <si>
    <t>ROULINA HARIANJA, S.Pd</t>
  </si>
  <si>
    <t>SURATNO, S.Pd, M.Si</t>
  </si>
  <si>
    <t>MARUDUT SIDEBANG, S.Pd</t>
  </si>
  <si>
    <t>AMOS PADIMUN PANGGABEAN, S.Pd, M.Pd</t>
  </si>
  <si>
    <t>LAHAT VIKTOR SIHAR SINAGA, S.Pd</t>
  </si>
  <si>
    <t>RIRY NUROHMAWATY, S.Pd</t>
  </si>
  <si>
    <t>ANTHONI PURBA, S.Pd, M.Si</t>
  </si>
  <si>
    <t>RUDI HARTO GULTOM, S.Pd</t>
  </si>
  <si>
    <t>LONDON PARULIAN NAPITUPULU, S.Pd, M.Si</t>
  </si>
  <si>
    <t>TRI HANDAYANI, S.Pd</t>
  </si>
  <si>
    <t>DEVA LINDA DAULAY, S.Pd</t>
  </si>
  <si>
    <t>DEDE IRAWAN, S.Pd</t>
  </si>
  <si>
    <t>MARIADI, S.Pd</t>
  </si>
  <si>
    <t>GIATNO, S.Pd, M.Pd</t>
  </si>
  <si>
    <t>SUBHAN SATRIA ABDI, S.Pd</t>
  </si>
  <si>
    <t>SYAFRIALDI AZWAR HARAHAP, S.Pd, M.Pd</t>
  </si>
  <si>
    <t>ABDUL KODIR MUNTHE, S.Pd.I</t>
  </si>
  <si>
    <t>ISMAIL, S.Pd</t>
  </si>
  <si>
    <t>PARLINDUNGAN DALIMUNTHE, S.Pd.I</t>
  </si>
  <si>
    <t>AFRINA DEVI MARTI, S.Pd</t>
  </si>
  <si>
    <t>FREDDY PANGARIBUAN, M.Si, S.Pd</t>
  </si>
  <si>
    <t xml:space="preserve">BUDI PARLINDUNGAN MARPAUNG, S.Pd, M.Si, </t>
  </si>
  <si>
    <t>MINARTO MARPAUNG, S.Pd</t>
  </si>
  <si>
    <t>BENSON DORLAN HUTAHAEAN, S.Pd, M.Si</t>
  </si>
  <si>
    <t>HELDA SAGALA, S.Pd</t>
  </si>
  <si>
    <t>MARUDUT SIMANGUNSONG, S.Pd</t>
  </si>
  <si>
    <t>TIGOR JAUHARI RUMAHORBO, S.Pd</t>
  </si>
  <si>
    <t>RONNY SIRINGORINGO, S Pd, M.Or.</t>
  </si>
  <si>
    <t>POLUK BINTANG NATALIS PAKPAHAN, S.Pd</t>
  </si>
  <si>
    <t>MANGIRING SIMATUPANG, S.Pd</t>
  </si>
  <si>
    <t>ADIL SIMANULLANG, S.Pd</t>
  </si>
  <si>
    <t>MESRANI HUTASOIT, S.Pd</t>
  </si>
  <si>
    <t>ERBIN SITORUS, S.Pd, M.Pd</t>
  </si>
  <si>
    <t>PARSAORAN SIMATUPANG, S.Pd, M.Or</t>
  </si>
  <si>
    <t>KRISMAN MANALU, S.Pd.K, M.Pd</t>
  </si>
  <si>
    <t>HOBBI MAROLOP SIANTURI, S.Pd</t>
  </si>
  <si>
    <t>DARMA MARYONO SIRAIT, S.Pd</t>
  </si>
  <si>
    <t>DAHLAN SITUMEANG, S.Pd, M.Pd</t>
  </si>
  <si>
    <t>BENRY SILABAN, S.Pd, M.Pd</t>
  </si>
  <si>
    <t>ZULFAHMI HARAHAP, S.Pd</t>
  </si>
  <si>
    <t>BAHRUL SIREGAR, S.Pd.I, M.Pd.</t>
  </si>
  <si>
    <t>SIMON PERES MARBUN, S.Pd</t>
  </si>
  <si>
    <t>MASDIANI SIHALOHO, S.Pd.Si</t>
  </si>
  <si>
    <t>RONATHA SITUMEANG, S.Pd</t>
  </si>
  <si>
    <t>RUSLI EFENDI, S.Pd</t>
  </si>
  <si>
    <t>ROBINSON MANALU, S.Pd</t>
  </si>
  <si>
    <t>URIPATMIMINDAYANI, S.Pd</t>
  </si>
  <si>
    <t>HERLINA HASMIANTI SIHITE, S Pd, M.Si</t>
  </si>
  <si>
    <t>DARMA SARI SARAGIH, S.Pd</t>
  </si>
  <si>
    <t>LEONARDO SITORUS, S.Pd, M.Pd</t>
  </si>
  <si>
    <t>AMIR HASAN HARAHAP, S.Pd</t>
  </si>
  <si>
    <t>JAHRONA, S.Pd</t>
  </si>
  <si>
    <t>AHMAD RUSDI, S.Pd</t>
  </si>
  <si>
    <t>HENRI SAPUTRA, S.Pd</t>
  </si>
  <si>
    <t>PANAEKAN SIREGAR, S.Pd</t>
  </si>
  <si>
    <t>AGUS ZULPAN HARAHAP, S.Pd</t>
  </si>
  <si>
    <t>ROSNIDAH SIREGAR, S.Pd , M.Si</t>
  </si>
  <si>
    <t>ARJUN LUBIS, M.Pd, S.Pd</t>
  </si>
  <si>
    <t>LINNI AGUSTINA LUBIS, S.Sos</t>
  </si>
  <si>
    <t>CHERRY SUSANDI SIMANUNGKALIT, S.Pd</t>
  </si>
  <si>
    <t>KHOIRIN NISA, S.Pd</t>
  </si>
  <si>
    <t>SAHDAN AHMADI, S.Pd, S.T</t>
  </si>
  <si>
    <t>MAHJUDDIN, S.Pd</t>
  </si>
  <si>
    <t>IMRAN NASUTION, S.Pd, M.M</t>
  </si>
  <si>
    <t>SITI ATMASARI, S.Pd.I</t>
  </si>
  <si>
    <t>ANSYARUDDIN, S.Pd</t>
  </si>
  <si>
    <t>RAMNAEGA LISFARIAH SIREGAR, S.Pd</t>
  </si>
  <si>
    <t>YUSRI ANNUR LUBIS, S.Pd</t>
  </si>
  <si>
    <t>PERAWATY SIREGAR, SE, S.Pd, MM</t>
  </si>
  <si>
    <t>NURMALA HASIBUAN, S.Pd</t>
  </si>
  <si>
    <t>WALLI AMIN DALIMUNTHE, S.Ag</t>
  </si>
  <si>
    <t>SYAFRI ROMADONA HARAHAP, S.Pd</t>
  </si>
  <si>
    <t>YAMONAHA HAREFA, S.Pd</t>
  </si>
  <si>
    <t>YOELMAN HAREFA, S.Pd</t>
  </si>
  <si>
    <t>EVI ARIANI, S.Pd</t>
  </si>
  <si>
    <t>DARNITA HASNA DAULAY, S.Pd, M.Si</t>
  </si>
  <si>
    <t>ISLAMUDDIN, S.Pd</t>
  </si>
  <si>
    <t>SRI DEWI MADANIA DAMANIK, S.Pd</t>
  </si>
  <si>
    <t>YADUHU LAIA, S.Pd</t>
  </si>
  <si>
    <t>JUNIFAO GEA, S.Pd</t>
  </si>
  <si>
    <t>ROROGO MENDROFA, S.Pd</t>
  </si>
  <si>
    <t>MARTINI ZEBUA, S.Pd</t>
  </si>
  <si>
    <t>LIBERTINA WARUWU, S.Pd</t>
  </si>
  <si>
    <t>FATIMANO ZALUKHU, S.Pd</t>
  </si>
  <si>
    <t>DEWI WARNI TAFONAO, S.Pd</t>
  </si>
  <si>
    <t>OTOMOSI TELAUMBANUA, S.Pd</t>
  </si>
  <si>
    <t>JUDIARO ZEBUA, S.Pd</t>
  </si>
  <si>
    <t>SERNIWATI LASE, S.Pd</t>
  </si>
  <si>
    <t>QUARTA GRACE S. ZEBUA, S.Pd</t>
  </si>
  <si>
    <t>YUBIARI GEA, S.Pd</t>
  </si>
  <si>
    <t>JULIUS LAHAGU, S.Ag</t>
  </si>
  <si>
    <t>KETABAHAN ZEBUA, S.Pd</t>
  </si>
  <si>
    <t>HADIRAN LASE, S.Pd</t>
  </si>
  <si>
    <t>MULIANI TELAUMBANUA, S.Pd</t>
  </si>
  <si>
    <t>FIKTOR MUDA NAZARA, S.Pd.</t>
  </si>
  <si>
    <t>SYUKUR EMANUEL ZEBUA, S.Pd</t>
  </si>
  <si>
    <t>EDID BESTARI ZENDRATO, S.Pd</t>
  </si>
  <si>
    <t>FATINAFAULU LAIA, S.Ag</t>
  </si>
  <si>
    <t>TITIAN NIDAM HULU, S.Pd</t>
  </si>
  <si>
    <t>HEZATULO , S.Pd</t>
  </si>
  <si>
    <t>SEVI MEI JERNIH WARUWU, S.Pd</t>
  </si>
  <si>
    <t>ALI YUSUF ZAI, S.Pd, M.Pd</t>
  </si>
  <si>
    <t>ONITEHE GULO, SE</t>
  </si>
  <si>
    <t>SURIANI GANUMBA, S.Pd, M.Pd</t>
  </si>
  <si>
    <t>JHON PITER MALAU, S.Pd</t>
  </si>
  <si>
    <t>ENDANG SURIANI SINAGA, S.Pd</t>
  </si>
  <si>
    <t>SELVINA AMPADUNG, S.Pd</t>
  </si>
  <si>
    <t>USAHA GULO, S.Pd</t>
  </si>
  <si>
    <t>FEDIRMAN WIDANA ZEBUA, S.Pd.</t>
  </si>
  <si>
    <t>ENONIA HIA, S Pd, M.Pd</t>
  </si>
  <si>
    <t>ARDIANA DUHA, S.Pd</t>
  </si>
  <si>
    <t>AGUSTINA GULO, S.Pd</t>
  </si>
  <si>
    <t>OKTIMASWATI TELAUMBANUA, S.Pd</t>
  </si>
  <si>
    <t>ASIWATA DAELI, S.Pd, S.Pd</t>
  </si>
  <si>
    <t>AHABI TAFONAO, S.Pd</t>
  </si>
  <si>
    <t>HERMAN JAYA ZENDRATO, S.Pd</t>
  </si>
  <si>
    <t>ALTURISMAN ZAGOTO, S.Pd, M.A.P</t>
  </si>
  <si>
    <t>SUARAMI TALUNOHI, S.Pd</t>
  </si>
  <si>
    <t>ALBERTUS YOSAPHAT HALAWA, S.Pd, M.Pd</t>
  </si>
  <si>
    <t>AGUSTINA DAKHI, S.Pd</t>
  </si>
  <si>
    <t>ROHZAMAN LAROSA, S.Pd</t>
  </si>
  <si>
    <t>PARLINDUNGAN SACH LUBIS, S.Pd</t>
  </si>
  <si>
    <t>AHMAD HABIBI, S.Pd. M.Pd</t>
  </si>
  <si>
    <t>JUMPA SEMBIRING, S.Si</t>
  </si>
  <si>
    <t>SAIDI ANTONIUS SIMANJUNTAK, S.Kom, M.Pd</t>
  </si>
  <si>
    <t>ASRON BATU BARA, S.Pd</t>
  </si>
  <si>
    <t>PURWITO, S.Pd.M.Pd</t>
  </si>
  <si>
    <t>SUJARNO, S.Kom, M.Ikom</t>
  </si>
  <si>
    <t>BERINA MANURUNG, M.Pd.</t>
  </si>
  <si>
    <t>VESTIVAL SIMANULLANG, S.Pd</t>
  </si>
  <si>
    <t>MUALIM LUBIS, S.S</t>
  </si>
  <si>
    <t>WALDEN PASARIBU, S.Pd</t>
  </si>
  <si>
    <t>NALSIUS MARPAUNG, S.Pd</t>
  </si>
  <si>
    <t>KURNIAWAN, S.Psi</t>
  </si>
  <si>
    <t>SAFITRIATI SIREGAR, S.Pd</t>
  </si>
  <si>
    <t>HOTMA SINAR JANDI DAMANIK, S.Pd</t>
  </si>
  <si>
    <t>JON RIAHMAN SARAGIH, M.Pd</t>
  </si>
  <si>
    <t>WARKUM, S.Pd, M.Si</t>
  </si>
  <si>
    <t>TORANG SARUKSUK, S.Pd, M.Pd</t>
  </si>
  <si>
    <t>SURIPTO, S.Pd</t>
  </si>
  <si>
    <t>JOHANNES MARBUN, S.Pd., M.Pd</t>
  </si>
  <si>
    <t>FRENCI LUMBANTOBING, S.Pd</t>
  </si>
  <si>
    <t>BINSAR PARSAORAN HUTAGALUNG, S.Th</t>
  </si>
  <si>
    <t>GANDATUA HUTAGALUNG, S.Pd, M.M</t>
  </si>
  <si>
    <t>IDAWATI SIREGAR, S.Pd</t>
  </si>
  <si>
    <t>HELDA SYARI, S.Pd</t>
  </si>
  <si>
    <t>ILHAM RIZKI NASUTION, S.Pd.</t>
  </si>
  <si>
    <t>SULAIMAN SALEH HARAHAP, S.Kom</t>
  </si>
  <si>
    <t>SYARIF MUDA HARAHAP, S.Pd, S.Pd</t>
  </si>
  <si>
    <t>MUHAMMAD ARIF LUBIS, S.Pd, S.Sos</t>
  </si>
  <si>
    <t>FAJAR SIDDIK, S.Pd</t>
  </si>
  <si>
    <t>AKHIRUDDIN  HALOMOAN HRP, S.Sos, M.Pd</t>
  </si>
  <si>
    <t>AHMAD IMADI BATUBARA, S.Pd, M.Pd</t>
  </si>
  <si>
    <t>AMALIAH RITONGA, S.Pd.I,M.Pd</t>
  </si>
  <si>
    <t>DERLIANA PANE, S.Pd, M.Si</t>
  </si>
  <si>
    <t>KRISTIANI HULU, S.Pd</t>
  </si>
  <si>
    <t>MELINUS TELAUMBANUA, S.Pd</t>
  </si>
  <si>
    <t>IRIDHOI DAELI, S.Pd., M.M</t>
  </si>
  <si>
    <t>AGUSTINUS TELAUMBANUA, S.Pd.,M.A</t>
  </si>
  <si>
    <t>FABO ONI NDRAHA, S.Pd, MM</t>
  </si>
  <si>
    <t>TAHADODO DAKHI, S.Pd</t>
  </si>
  <si>
    <t>ARSYAD THALIB LAIA, S.Pd, M.Si</t>
  </si>
  <si>
    <t>BONNI VASSIUS HENDRAWAN GULO, S.Pd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</si>
  <si>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</si>
  <si>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</si>
  <si>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</si>
  <si>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</si>
  <si>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</si>
  <si>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</si>
  <si>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</si>
  <si>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</si>
  <si>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</si>
  <si>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</si>
  <si>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</si>
  <si>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</si>
  <si>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</si>
  <si>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</si>
  <si>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</si>
  <si>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</si>
  <si>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</si>
  <si>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</si>
  <si>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</si>
  <si>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</si>
  <si>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</si>
  <si>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</si>
  <si>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</si>
  <si>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</si>
  <si>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</si>
  <si>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</si>
  <si>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</si>
  <si>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</si>
  <si>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</si>
  <si>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</si>
  <si>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</si>
  <si>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</si>
  <si>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</si>
  <si>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</si>
  <si>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</si>
  <si>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</si>
  <si>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</si>
  <si>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</si>
  <si>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</si>
  <si>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</si>
  <si>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</si>
  <si>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</si>
  <si>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</si>
  <si>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</si>
  <si>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</si>
  <si>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</si>
  <si>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</si>
  <si>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</si>
  <si>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</si>
  <si>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</si>
  <si>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</si>
  <si>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</si>
  <si>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</si>
  <si>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</si>
  <si>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</si>
  <si>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</si>
  <si>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</si>
  <si>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</si>
  <si>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</si>
  <si>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</si>
  <si>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</si>
  <si>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</si>
  <si>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</si>
  <si>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</si>
  <si>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</si>
  <si>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</si>
  <si>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</si>
  <si>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</si>
  <si>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</si>
  <si>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</si>
  <si>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</si>
  <si>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</si>
  <si>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</si>
  <si>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</si>
  <si>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</si>
  <si>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</si>
  <si>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</si>
  <si>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</si>
  <si>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</si>
  <si>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</si>
  <si>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</si>
  <si>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</si>
  <si>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</si>
  <si>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</si>
  <si>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</si>
  <si>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</si>
  <si>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</si>
  <si>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</si>
  <si>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</si>
  <si>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</si>
  <si>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</si>
  <si>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</si>
  <si>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</si>
  <si>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</si>
  <si>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</si>
  <si>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</si>
  <si>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</si>
  <si>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</si>
  <si>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</si>
  <si>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</si>
  <si>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</si>
  <si>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</si>
  <si>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</si>
  <si>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</si>
  <si>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</si>
  <si>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</si>
  <si>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</si>
  <si>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</si>
  <si>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</si>
  <si>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</si>
  <si>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</si>
  <si>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</si>
  <si>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</si>
  <si>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</si>
  <si>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</si>
  <si>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</si>
  <si>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</si>
  <si>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</si>
  <si>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</si>
  <si>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</si>
  <si>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</si>
  <si>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</si>
  <si>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</si>
  <si>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</si>
  <si>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</si>
  <si>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</si>
  <si>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</si>
  <si>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</si>
  <si>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</si>
  <si>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</si>
  <si>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</si>
  <si>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</si>
  <si>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</si>
  <si>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</si>
  <si>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</si>
  <si>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</si>
  <si>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</si>
  <si>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</si>
  <si>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</si>
  <si>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</si>
  <si>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</si>
  <si>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</si>
  <si>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</si>
  <si>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</si>
  <si>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</si>
  <si>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</si>
  <si>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</si>
  <si>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</si>
  <si>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</si>
  <si>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</si>
  <si>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</si>
  <si>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</si>
  <si>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</si>
  <si>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</si>
  <si>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</si>
  <si>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</si>
  <si>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</si>
  <si>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</si>
  <si>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</si>
  <si>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</si>
  <si>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</si>
  <si>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</si>
  <si>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</si>
  <si>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</si>
  <si>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</si>
  <si>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</si>
  <si>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</si>
  <si>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</si>
  <si>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</si>
  <si>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</si>
  <si>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</si>
  <si>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</si>
  <si>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</si>
  <si>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</si>
  <si>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</si>
  <si>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</si>
  <si>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</si>
  <si>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</si>
  <si>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</si>
  <si>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</si>
  <si>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</si>
  <si>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</si>
  <si>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</si>
  <si>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</si>
  <si>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</si>
  <si>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</si>
  <si>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</si>
  <si>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</si>
  <si>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</si>
  <si>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</si>
  <si>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</si>
  <si>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</si>
  <si>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</si>
  <si>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</si>
  <si>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</si>
  <si>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</si>
  <si>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</si>
  <si>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</si>
  <si>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</si>
  <si>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</si>
  <si>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</si>
  <si>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</si>
  <si>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</si>
  <si>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</si>
  <si>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</si>
  <si>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</si>
  <si>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</si>
  <si>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</si>
  <si>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</si>
  <si>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</si>
  <si>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</si>
  <si>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</si>
  <si>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</si>
  <si>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</si>
  <si>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</si>
  <si>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</si>
  <si>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</si>
  <si>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</si>
  <si>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</si>
  <si>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</si>
  <si>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</si>
  <si>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</si>
  <si>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</si>
  <si>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</si>
  <si>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</si>
  <si>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</si>
  <si>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</si>
  <si>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</si>
  <si>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</si>
  <si>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</si>
  <si>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</si>
  <si>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</si>
  <si>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</si>
  <si>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</si>
  <si>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</si>
  <si>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</si>
  <si>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</si>
  <si>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</si>
  <si>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</si>
  <si>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</si>
  <si>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</si>
  <si>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</si>
  <si>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</si>
  <si>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</si>
  <si>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</si>
  <si>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</si>
  <si>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</si>
  <si>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</si>
  <si>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Sma Negeri 19 Kota Medan.</t>
  </si>
  <si>
    <t>Sma Negeri Gunung Meriah Kab. Deli Serdang.</t>
  </si>
  <si>
    <t>Smk Negeri 1 Biru-Biru Kab. Deli Serdang.</t>
  </si>
  <si>
    <t>Sma Negeri 4 Kota Medan.</t>
  </si>
  <si>
    <t>Sma Negeri 20 Kota Medan.</t>
  </si>
  <si>
    <t>Sma Negeri 18 Kota Medan.</t>
  </si>
  <si>
    <t>Smk Negeri 13 Kota Medan.</t>
  </si>
  <si>
    <t>Smk Negeri 11 Kota Medan.</t>
  </si>
  <si>
    <t>Sma Negeri 1 Beringin Kab. Deli Serdang.</t>
  </si>
  <si>
    <t>Smk Negeri 1 Stm Hulu Kab. Deli Serdang.</t>
  </si>
  <si>
    <t>Sma Negeri 1 Batang Kuis Kab. Deli Serdang.</t>
  </si>
  <si>
    <t>Sma Negeri 1 Pancur Batu Kab. Deli Serdang.</t>
  </si>
  <si>
    <t>Kepala  Sma Negeri 1 Stm Hilir Kab. Deli Serdang.</t>
  </si>
  <si>
    <t>Sma Negeri 1 Sibolangit Kab. Deli Serdang.</t>
  </si>
  <si>
    <t>Sma Negeri 1 Percut Sei Tuan Kab. Deli Serdang.</t>
  </si>
  <si>
    <t>Kepala  Sma Negeri 16 Kota Medan.</t>
  </si>
  <si>
    <t>Sma Negeri 7 Kota Medan.</t>
  </si>
  <si>
    <t>Sma Negeri 21 Kota Medan.</t>
  </si>
  <si>
    <t>Smk Negeri 1 Percut Sei Tuan Kab. Deli Serdang.</t>
  </si>
  <si>
    <t>Kepala  Smk Negeri 5 Kota Medan Pada Smk Negeri 5 Kota Medan.</t>
  </si>
  <si>
    <t>Sma Negeri 8 Kota Medan.</t>
  </si>
  <si>
    <t>Smk Negeri 10 Kota Medan.</t>
  </si>
  <si>
    <t>Sma Negeri 9 Kota Medan.</t>
  </si>
  <si>
    <t>Sma Negeri 3 Kota Medan.</t>
  </si>
  <si>
    <t>Sma Negeri 1 Babalan Kab. Langkat.</t>
  </si>
  <si>
    <t>Sma Negeri 3 Kota Binjai.</t>
  </si>
  <si>
    <t>Sma Negeri 6 Kota Binjai.</t>
  </si>
  <si>
    <t>Sma Negeri 1 Salapian Kab. Langkat.</t>
  </si>
  <si>
    <t>Sma Negeri 2 Binjai.</t>
  </si>
  <si>
    <t>Sma Negeri 1 Kuala Kab. Langkat.</t>
  </si>
  <si>
    <t>Smk Negeri 1 Pematang Jaya.</t>
  </si>
  <si>
    <t>Sma Negeri 3 Kota Tebing Tinggi.</t>
  </si>
  <si>
    <t>Smk Negeri 1 Pantai Cermin Kab. Serdang Bedagai.</t>
  </si>
  <si>
    <t>Sma Negeri 1 Kotarih Kab. Serdang Bedagai.</t>
  </si>
  <si>
    <t>Sma Negeri 1 Serba Jadi Kab. Serdang Bedagai - Cabang Dinas Pendidikan Wilayah  Iii</t>
  </si>
  <si>
    <t>Slb Negeri Serdang Bedagai.</t>
  </si>
  <si>
    <t>Sma Negeri 1 Pegajahan Kab. Serdang Bedagai.</t>
  </si>
  <si>
    <t>Sma Negeri 1 Perbaungan Kab. Serdang Bedagai.</t>
  </si>
  <si>
    <t>Smk Negeri 4 Kota Tebing Tinggi.</t>
  </si>
  <si>
    <t>Sma Negeri 1 Tebing Syahbandar Kab. Serdang Bedagai.</t>
  </si>
  <si>
    <t>Sma Negeri 1 Sei Bamban Kab. Serdang Bedagai.</t>
  </si>
  <si>
    <t>Smk Negeri 1 Dolok Merawan Kab. Serdang Bedagai.</t>
  </si>
  <si>
    <t>Sma Negeri 1 Tanah Pinem Kab. Dairi.</t>
  </si>
  <si>
    <t>Sma Negeri 1 Tigapanah. Kab. Karo</t>
  </si>
  <si>
    <t>Sma Negeri 1 Kerajaan Kab. Pakpak Bharat.</t>
  </si>
  <si>
    <t>Sma Negeri 1 Situ Julu Kab. Pakpak Bharat.</t>
  </si>
  <si>
    <t>Smk Negeri 1 Pegagan Hilir Kab. Dairi.</t>
  </si>
  <si>
    <t>Smk Negeri 1 Sitellu Tali Urang Jehe Kab. Pakpak Bharat.</t>
  </si>
  <si>
    <t>Sma Negeri 1 Siempat Nempu Kab. Dairi.</t>
  </si>
  <si>
    <t>Sma Negeri 1 Simpangempat Kab. Karo.</t>
  </si>
  <si>
    <t>Smk Negeri 1 Parbuluan Kab. Dairi.</t>
  </si>
  <si>
    <t>Kepala  Sma Negeri 1 Berastagi Kab. Karo.</t>
  </si>
  <si>
    <t>Kepala  Sma Negeri 1 Silahisabungan Kab. Dairi.</t>
  </si>
  <si>
    <t>Kepala  Sma Negeri 1 Munte Kab. Karo Pada Sma Negeri 1 Munte Kab. Karo.</t>
  </si>
  <si>
    <t>Sma Negeri 2 Kabanjahe Kab. Karo.</t>
  </si>
  <si>
    <t>Smk Negeri 1 Sitinjo Kab. Dairi.</t>
  </si>
  <si>
    <t>Sma Negeri 1 Sidikalang Kab. Dairi.</t>
  </si>
  <si>
    <t>Sma Negeri 1 Gunung Sitember Kab. Dairi.</t>
  </si>
  <si>
    <t>Sma Negeri 1 Kutabuluh Kab. Karo.</t>
  </si>
  <si>
    <t>Sma Negeri 1 Lae Parira Kab. Dairi.</t>
  </si>
  <si>
    <t>Sma Negeri 1 Buntu Pane Kab. Asahan.</t>
  </si>
  <si>
    <t>Sma Negeri 2 Kota Tanjungbalai.</t>
  </si>
  <si>
    <t>Sma Negeri 1 Kota Tanjungbalai.</t>
  </si>
  <si>
    <t>Sma Negeri 2 Meranti Kab. Asahan.</t>
  </si>
  <si>
    <t>Kepala  Slb Negeri Tanjung Balai Pada Slb Negeri Tanjung Balai.</t>
  </si>
  <si>
    <t>Kepala  Sma Negeri 1 Sei Kepayang Kab. Asahan.</t>
  </si>
  <si>
    <t>Sma Negeri 7 Kota Tanjungbalai.</t>
  </si>
  <si>
    <t>Smk Negeri 1 Air Batu Kab. Asahan.</t>
  </si>
  <si>
    <t>Sma Negeri 4 Kota Tanjungbalai.</t>
  </si>
  <si>
    <t>Sma Negeri 1 Talawi Kab. Batubara.</t>
  </si>
  <si>
    <t>Smk Negeri 1 Tinggi Raja Kab. Asahan.</t>
  </si>
  <si>
    <t>Sma Negeri 1 Simpang Empat Kab. Asahan.</t>
  </si>
  <si>
    <t>Sma Negeri 1 Air Putih Kab. Batubara.</t>
  </si>
  <si>
    <t>Sma Negeri 2 Kisaran Kab. Asahan.</t>
  </si>
  <si>
    <t>Sma Negeri 1 Sei Suka Kab. Batubara.</t>
  </si>
  <si>
    <t>Sma Negeri 1 Sei Balai Kab. Batubara.</t>
  </si>
  <si>
    <t>Sma Negeri 1 Tanjung Tiram Kab. Batubara.</t>
  </si>
  <si>
    <t>Sma Negeri 3 Kota Tanjungbalai.</t>
  </si>
  <si>
    <t>Smk Negeri 1 Raya Kab. Simalungun.</t>
  </si>
  <si>
    <t>Sma Negeri 6 Kota Pematangsiantar.</t>
  </si>
  <si>
    <t>Slb Negeri Pematangsiantar.</t>
  </si>
  <si>
    <t>Sma Negeri 1 Silimakuta Kab. Simalungun.</t>
  </si>
  <si>
    <t>Smk Negeri Pertanian Batu Xx Kab. Simalungun.</t>
  </si>
  <si>
    <t>Sma Negeri 1 Purba Kab. Simalungun.</t>
  </si>
  <si>
    <t>Slb Negeri Simalungun.</t>
  </si>
  <si>
    <t>Sma Negeri 3 Kota Pematangsiantar.</t>
  </si>
  <si>
    <t>Sma Negeri 4 Kota Pematangsiantar.</t>
  </si>
  <si>
    <t>Sma Negeri 1 Bandar Kab. Simalungun.</t>
  </si>
  <si>
    <t>Kepala  Sma Negeri 1 Panombeian Panei Kab. Simalungun.</t>
  </si>
  <si>
    <t>Smk Negeri 1 Kota Pematangsiantar.</t>
  </si>
  <si>
    <t>Smk Negeri 1 Bandar Masilam Kab. Simalungun.</t>
  </si>
  <si>
    <t>Sma Negeri 1 Kota Pematangsiantar.</t>
  </si>
  <si>
    <t>Kepala Pada Smk Negeri 1 Bandar Kab. Simalungun.</t>
  </si>
  <si>
    <t>Sma Negeri 1 Bosar Maligas Kab. Simalungun.</t>
  </si>
  <si>
    <t>Sma Negeri 1 Rantau Utara Kab. Labuhan Batu.</t>
  </si>
  <si>
    <t>Smk Negeri 1 Rantau Utara Kab. Labuhan Batu.</t>
  </si>
  <si>
    <t>Sma Negeri 2 Rantau Utara Kab. Labuhan Batu.</t>
  </si>
  <si>
    <t>Sma Negeri 2 Bilah Hilir.</t>
  </si>
  <si>
    <t>Sma Negeri 1 Panai Hulu Kab. Labuhan Batu.</t>
  </si>
  <si>
    <t>Kepala  Sma Negeri 1 Kualuh Selatan Kab. Labuhan Batu Utara.</t>
  </si>
  <si>
    <t>Sma Negeri 2 Kotapinang Kab. Labuhan Batu Selatan.</t>
  </si>
  <si>
    <t>Sma Negeri 1 Panai Hilir Kab. Labuhan Batu.</t>
  </si>
  <si>
    <t>Sma Negeri 1 Merbau Kab. Labuhan Batu Utara.</t>
  </si>
  <si>
    <t>Sma Negeri 1 Silangkitang Kab. Labuhan Batu Selatan.</t>
  </si>
  <si>
    <t>Slb Negeri Rantau Prapat.</t>
  </si>
  <si>
    <t>Sma Negeri 1 Lumbanjulu Kab. Toba Samosir.</t>
  </si>
  <si>
    <t>Smk Negeri 1 Balige Kab. Toba Samosir.</t>
  </si>
  <si>
    <t>Smk Negeri 1 Nassau Kab. Toba Samosir.</t>
  </si>
  <si>
    <t>Smk Negeri 1 Laguboti Kab. Toba Samosir.</t>
  </si>
  <si>
    <t>Sma Negeri 1 Ronggurnihuta Kab. Samosir.</t>
  </si>
  <si>
    <t>Sma Negeri 2 Habinsaran Kab. Toba.</t>
  </si>
  <si>
    <t>Sma Negeri 1 Simanindo Kab. Samosir.</t>
  </si>
  <si>
    <t>Sma Negeri 1 Pagaran Kab. Tapanuli Utara.</t>
  </si>
  <si>
    <t>Sma Negeri 1 Siborongborong Kab.Tapanuli Utara.</t>
  </si>
  <si>
    <t>Smk Negeri 1 Garoga Kab. Tapanuli Utara.</t>
  </si>
  <si>
    <t>Smk Negeri 1 Pollung Kab. Humbang Hasundutan.</t>
  </si>
  <si>
    <t>Sma Negeri 1 Bakti Raja Kab. Humbang Hasundutan.</t>
  </si>
  <si>
    <t>Sma Negeri 1 Pahae Julu Kab. Tapanuli Utara.</t>
  </si>
  <si>
    <t>Kepala  Sma Negeri 1 Pangaribuan Kab. Tapanuli Utara.</t>
  </si>
  <si>
    <t>Kepala  Sma Negeri 1 Pollung Kab. Humbang Hasundutan.</t>
  </si>
  <si>
    <t>Sma Negeri 2 Doloksanggul Kab. Humbang Hasundutan.</t>
  </si>
  <si>
    <t>Smk Negeri 1 Muara Kab. Tapanuli Utara.</t>
  </si>
  <si>
    <t>Sma Negeri 2 Tarutung Kab. Tapanuli Utara.</t>
  </si>
  <si>
    <t>Sma Negeri 3 Tarutung Kab. Tapanuli Utara.</t>
  </si>
  <si>
    <t>Sma Negeri 1 Pinangsori Kab. Tapanuli Tengah.</t>
  </si>
  <si>
    <t>Smk Negeri 1 Sarudik Kab. Tapanuli Tengah.</t>
  </si>
  <si>
    <t>Sma Negeri 3 Kota Sibolga.</t>
  </si>
  <si>
    <t>Sma Negeri 1 Sosorgadong Kab. Tapanuli Tengah.</t>
  </si>
  <si>
    <t>Sma Negeri 1 Kolang Kab. Tapanuli Tengah.</t>
  </si>
  <si>
    <t>Sma Negeri 1 Manduamas Kab. Tapanuli Tengah.</t>
  </si>
  <si>
    <t>Smk Negeri 2 Kota Sibolga.</t>
  </si>
  <si>
    <t>Sma Negeri 1 Kota Sibolga.</t>
  </si>
  <si>
    <t>Sma Negeri 1 Sorkam Barat Kab. Tapanuli Tengah.</t>
  </si>
  <si>
    <t>Slb Negeri Sibolga.</t>
  </si>
  <si>
    <t>Smk Negeri 1 Tapian Nauli Kab. Tapanuli Tengah.</t>
  </si>
  <si>
    <t>Sma Negeri 2 Siabu Kab. Mandailing Natal.</t>
  </si>
  <si>
    <t>Sma Negeri 1 Batang Angkola Kab. Tapanuli Selatan.</t>
  </si>
  <si>
    <t>Smk Negeri 1 Muara Batanggadis Kab. Mandailing Natal.</t>
  </si>
  <si>
    <t>Sma Negeri 1 Batang Natal Kab. Mandailing Natal.</t>
  </si>
  <si>
    <t>Sma Negeri 8 Kota Padangsidimpuan.</t>
  </si>
  <si>
    <t>Smk Negeri 1 Tantom Angkola Kab. Tapanuli Selatan.</t>
  </si>
  <si>
    <t>Sma Negeri 4 Kota Padangsidimpuan.</t>
  </si>
  <si>
    <t>Sma Negeri 1 Panyabungan Kab. Mandailing Natal.</t>
  </si>
  <si>
    <t>Sma Negeri 3 Kota Padangsidimpuan.</t>
  </si>
  <si>
    <t>Sma Negeri 1 Kota Padangsidimpuan.</t>
  </si>
  <si>
    <t>Smk Negeri 1 Angkola Sangkunur Kab. Tapanuli Selatan.</t>
  </si>
  <si>
    <t>Smk Negeri 3 Panyabungan Kab. Mandailing Natal.</t>
  </si>
  <si>
    <t>Sma Negeri 3 Panyabungan Kab. Mandailing Natal.</t>
  </si>
  <si>
    <t>Kepala  Sma Negeri 7 Kota Padangsidimpuan.</t>
  </si>
  <si>
    <t>Smk Negeri 1 Batahan Kab. Mandailing Natal.</t>
  </si>
  <si>
    <t>Sma Negeri 1 Angkola Selatan Kab. Tapanuli Selatan.</t>
  </si>
  <si>
    <t>Sma Negeri 1 Hutabargot Kab. Mandailing Natal.</t>
  </si>
  <si>
    <t>Sma Negeri 1 Panyabungan Selatan Kab. Mandailing Natal.</t>
  </si>
  <si>
    <t>Sma Negeri 1 Panyabungan Barat Kab. Mandailing Natal.</t>
  </si>
  <si>
    <t>Smk Negeri 3 Kota Padangsidimpuan.</t>
  </si>
  <si>
    <t>Sma Negeri 1 Batang Onang Kab. Padang Lawas Utara.</t>
  </si>
  <si>
    <t>Smk Negeri 1 Aek Nabara Barumun Kab. Padang Lawas.</t>
  </si>
  <si>
    <t>Smk Negeri 1 Sawo Kab. Nias Utara.</t>
  </si>
  <si>
    <t>Smk Negeri 1 Idanogawo Kab.  Nias.</t>
  </si>
  <si>
    <t>Smk Negeri 1 Batang Onang Kab. Padang Lawas Utara.</t>
  </si>
  <si>
    <t>Smk Negeri 1 Sosa Kab. Padang Lawas.</t>
  </si>
  <si>
    <t>Smk Negeri 1 Padang Bolak Kab. Padang Lawas Utara.</t>
  </si>
  <si>
    <t>Smk Negeri 1 Batang Lubu Sutam Kab. Padang Lawas.</t>
  </si>
  <si>
    <t>Sma Negeri 2 Bawolato Kab. Nias.</t>
  </si>
  <si>
    <t>Sma Negeri 2 Namohalu Esiwa Kab. Nias Utara.</t>
  </si>
  <si>
    <t>Sma Negeri 1 Afulu Kab. Nias Utara.</t>
  </si>
  <si>
    <t>Smk Negeri 2 Lotu Kab. Nias Utara.</t>
  </si>
  <si>
    <t>Smk Negeri 1 Alasa Talumuzoi Kab. Nias Utara.</t>
  </si>
  <si>
    <t>Sma Negeri 2 Alasa Talumuzoi Kab. Nias Utara.</t>
  </si>
  <si>
    <t>Smk Negeri 2 Namohalu Esiwa Kab. Nias Utara.</t>
  </si>
  <si>
    <t>Sma Negeri 2 Kota Gunungsitoli.</t>
  </si>
  <si>
    <t>Sma Negeri 1 Gido Kab. Nias.</t>
  </si>
  <si>
    <t>Sma Negeri 1 Lotu Kab. Nias Utara.</t>
  </si>
  <si>
    <t>Sma Negeri 1 Sma Negeri 1 Sawo Kab. Nias Utara.</t>
  </si>
  <si>
    <t>Smk Negeri 3 Alasa Kab. Nias Utara Panyabungan Kab. Mandailing Natal.</t>
  </si>
  <si>
    <t>Smk Negeri 1 Gido Kab. Nias.</t>
  </si>
  <si>
    <t>Smk Negeri 2 Alasa Talumuzoi Kab. Nias Utara.</t>
  </si>
  <si>
    <t>Smk Negeri 2 Idanogawo Kab. Nias.</t>
  </si>
  <si>
    <t>Kepala  Smk Negeri 1 Dharma Caraka Gunungsitoli Selatan Kota Gunungsitoli.</t>
  </si>
  <si>
    <t>Kepala  Smk Negeri 2 Tugala Oyo Kab. Nias Utara.</t>
  </si>
  <si>
    <t>Kepala  Smk Negeri 2 Botomuzoi Kab. Nias.</t>
  </si>
  <si>
    <t>Smk Negeri 1 Kota Gunungsitoli.</t>
  </si>
  <si>
    <t>Smk Negeri 1 Tugala Oyo Kab. Nias Utara.</t>
  </si>
  <si>
    <t>Smk Negeri 1 Namohalu Esiwa Kab. Nias Utara.</t>
  </si>
  <si>
    <t>Sma Negeri 1 Gunungsitoli Utara Kota Gunungsitoli.</t>
  </si>
  <si>
    <t>Smk Negeri 1 Mau Kab. Nias.</t>
  </si>
  <si>
    <t>Sma Negeri 1 Sitolu Ori Kab. Nias Utara.</t>
  </si>
  <si>
    <t>Smk Negeri 2 Somolomolo Kab. Nias.</t>
  </si>
  <si>
    <t>Sma Negeri 1 Kota Gunungsitoli.</t>
  </si>
  <si>
    <t>Sma Negeri 1 Ulugawo Kab. Nias.</t>
  </si>
  <si>
    <t>Sma Negeri 1 Idanogawo Kab. Nias.</t>
  </si>
  <si>
    <t>Sma Negeri 1 Hilimegai Kab. Nias Selatan.</t>
  </si>
  <si>
    <t>Sma Negeri 2 Lolofitu Moi Kab. Nias Barat.</t>
  </si>
  <si>
    <t>Sma Negeri 1 Fanayama Kab. Nias Selatan.</t>
  </si>
  <si>
    <t>Sma Negeri 1 Sirombu Kab. Nias Barat.</t>
  </si>
  <si>
    <t>Smk Negeri 1 Lahusa Kab. Nias Selatan.</t>
  </si>
  <si>
    <t>Sma Negeri 1 Lolofitu Moi Kab. Nias Barat.</t>
  </si>
  <si>
    <t>Sma Negeri 2 Lahusa Kab. Nias Selatan.</t>
  </si>
  <si>
    <t>Smk Negeri 1 Lahomi Kab. Nias Barat.</t>
  </si>
  <si>
    <t>Sma Negeri 1 Hilisalawaahe Kab. Nias Selatan.</t>
  </si>
  <si>
    <t>Smk Negeri 1 Somambawa Kab. Nias Selatan.</t>
  </si>
  <si>
    <t>Sma Negeri 1 Onolalu Kab. Nias Selatan.</t>
  </si>
  <si>
    <t>Sma Negeri 1 Mazino Kab. Nias Selatan.</t>
  </si>
  <si>
    <t>Smk Negeri 2 Siduaori Kab. Nias Selatan.</t>
  </si>
  <si>
    <t>Sma Negeri 2 Mazo Kab. Nias Selatan.</t>
  </si>
  <si>
    <t>Sma Negeri 2 Moro O Kab. Nias Barat.</t>
  </si>
  <si>
    <t>Sma Negeri 1 Natal Kab. Mandailing Natal.</t>
  </si>
  <si>
    <t>Sma Negeri 6 Kota Medan.</t>
  </si>
  <si>
    <t>Sma Negeri 1 Sunggal Kab. Deli Serdang.</t>
  </si>
  <si>
    <t>Sma Negeri 1 Bangun Purba Kab. Deli Serdang.</t>
  </si>
  <si>
    <t>Smk Negeri 1 Beringin Kab. Deli Serdang.</t>
  </si>
  <si>
    <t>Sma Negeri 2 Besitang Kab. Langkat.</t>
  </si>
  <si>
    <t>Sma Negeri 1 Tanjung Pura Kab. Langkat.</t>
  </si>
  <si>
    <t>Sma Negeri 1 Lau Baleng Kab. Karo.</t>
  </si>
  <si>
    <t>Sma Negeri 1 Juhar Kab. Karo.</t>
  </si>
  <si>
    <t>Sma Negeri 1 Siempat Nempu Hulu Kab. Dairi.</t>
  </si>
  <si>
    <t>Sma Negeri 2 Pangaribuan Kab. Tapanuli Utara.</t>
  </si>
  <si>
    <t>Sma Negeri 1 Air Batu Kab. Asahan.</t>
  </si>
  <si>
    <t>Sma Negeri 1 Kisaran Kab. Asahan.</t>
  </si>
  <si>
    <t>Kepala  Smk Negeri 2 Lima Puluh Kab. Batubara.</t>
  </si>
  <si>
    <t>Sma Negeri 1 Raya Kahean Kab. Simalungun.</t>
  </si>
  <si>
    <t>Smk Negeri 2 Kota Pematangsiantar.</t>
  </si>
  <si>
    <t>Sma Negeri 1 Dolok Batunanggar Kab. Simalungun.</t>
  </si>
  <si>
    <t>Smk Negeri Seni Dan Budaya Kab. Simalungun.</t>
  </si>
  <si>
    <t>Sma Negeri 1 Rantau Selatan Kab. Labuhan Batu.</t>
  </si>
  <si>
    <t>Smk Negeri 1 Barus Utara Kab. Tapanuli Tengah.</t>
  </si>
  <si>
    <t>Smk Negeri 3 Kota Sibolga.</t>
  </si>
  <si>
    <t>Smk Negeri 1 Sorkam Kab. Tapanuli Tengah.</t>
  </si>
  <si>
    <t>Smk Negeri 1 Manduamas Kab. Tapanuli Tengah.</t>
  </si>
  <si>
    <t>Slb Negeri Pinangsori.</t>
  </si>
  <si>
    <t>Smk Negeri 1 Natal Kab. Mandailing Natal.</t>
  </si>
  <si>
    <t>Smk Negeri 4 Kota Padangsidimpuan.</t>
  </si>
  <si>
    <t>Smk Negeri 1 Siabu Kab. Mandailing Natal.</t>
  </si>
  <si>
    <t>Smk Negeri 1 Sinunukan  Kab. Mandailing Natal.</t>
  </si>
  <si>
    <t>Sma Negeri 1 Siabu Kab. Mandailing Natal.</t>
  </si>
  <si>
    <t>Smk Negeri 1 Sipirok Kab. Tapanuli Selatan.</t>
  </si>
  <si>
    <t>Sma Negeri 2 Plus Sipirok Kab. Tapanuli Selatan.</t>
  </si>
  <si>
    <t>Smk Negeri 1 Panyabungan Kab. Mandailing Natal.</t>
  </si>
  <si>
    <t>Sma Negeri 1 Padang Bolak Julu Kab. Padang Lawas Utara.</t>
  </si>
  <si>
    <t>Sma Negeri 1 Padang Bolak Kab. Padang Lawas Utara.</t>
  </si>
  <si>
    <t>Sma Negeri 1 Alasa Kab. Nias Utara.</t>
  </si>
  <si>
    <t>Smk Negeri 3 Kota Gunungsitoli.</t>
  </si>
  <si>
    <t>Smk Negeri 1 Gunungsitoli Barat Kota Gunungsitoli.</t>
  </si>
  <si>
    <t>Smk Negeri 2 Kota Gunungsitoli.</t>
  </si>
  <si>
    <t>Sma Negeri 1 Mau Kab. Nias.</t>
  </si>
  <si>
    <t>Sma Negeri 1 Maniamolo Kab. Nias Selatan.</t>
  </si>
  <si>
    <t>Sma Negeri 2 Lahomi Barat Kab. Nias Barat.</t>
  </si>
  <si>
    <t>Sma Negeri 3 Mandrehe Kab. Nias Barat.</t>
  </si>
  <si>
    <t>Sertifikat BCKS</t>
  </si>
  <si>
    <t>Sudah</t>
  </si>
  <si>
    <t>Belum</t>
  </si>
  <si>
    <t>Keterangan Akhir</t>
  </si>
  <si>
    <t>Plt</t>
  </si>
  <si>
    <t>Jabatan</t>
  </si>
  <si>
    <t>Defenitif</t>
  </si>
  <si>
    <t>Permendikdasmen No 7 Tahun 2025 Maksimal 2 Periode ( 1 Periode 4 Tahun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</si>
</sst>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2"/>
      <name val="Times New Roman"/>
      <family val="1"/>
    </font>
    <font>
      <b/>
      <sz val="10"/>
      <color rgb="FF000000"/>
      <name val="Times New Roman"/>
      <family val="1"/>
    </font>
    <font>
      <b/>
      <sz val="14"/>
      <name val="Times New Roman"/>
      <family val="1"/>
    </font>
    <font>
      <b/>
      <sz val="14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quotePrefix="1" applyFont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1" fillId="3" borderId="1" xfId="0" quotePrefix="1" applyFont="1" applyFill="1" applyBorder="1" applyAlignment="1">
      <alignment horizontal="center" vertical="center"/>
    </xf>
    <xf numFmtId="0" fontId="1" fillId="4" borderId="1" xfId="0" quotePrefix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/>
    </xf>
    <xf numFmtId="0" fontId="6" fillId="5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1" fillId="6" borderId="1" xfId="0" quotePrefix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21">
    <dxf>
      <fill>
        <patternFill>
          <bgColor theme="8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ont>
        <color rgb="FF92D050"/>
      </font>
    </dxf>
    <dxf>
      <font>
        <color theme="3" tint="0.59996337778862885"/>
      </font>
    </dxf>
    <dxf>
      <font>
        <color rgb="FFFFFF00"/>
      </font>
    </dxf>
    <dxf>
      <font>
        <color rgb="FFFF0000"/>
      </font>
    </dxf>
    <dxf>
      <fill>
        <patternFill patternType="solid">
          <fgColor rgb="FFBDD7EE"/>
          <bgColor rgb="FFBDD7EE"/>
        </patternFill>
      </fill>
    </dxf>
    <dxf>
      <fill>
        <patternFill>
          <bgColor theme="8"/>
        </patternFill>
      </fill>
    </dxf>
    <dxf>
      <fill>
        <patternFill>
          <bgColor theme="3" tint="0.59996337778862885"/>
        </patternFill>
      </fill>
    </dxf>
    <dxf>
      <fill>
        <patternFill>
          <bgColor rgb="FFFF0000"/>
        </patternFill>
      </fill>
    </dxf>
    <dxf>
      <font>
        <color auto="1"/>
      </font>
    </dxf>
    <dxf>
      <font>
        <color theme="3" tint="0.39994506668294322"/>
      </font>
    </dxf>
    <dxf>
      <font>
        <color rgb="FF00B050"/>
      </font>
    </dxf>
    <dxf>
      <font>
        <color rgb="FFFF0000"/>
      </font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ont>
        <color rgb="FFFF0000"/>
      </font>
    </dxf>
    <dxf>
      <font>
        <color rgb="FF00B05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249"/>
  <sheetViews>
    <sheetView tabSelected="1" zoomScale="70" workbookViewId="0">
      <selection activeCell="F3" sqref="F3"/>
    </sheetView>
  </sheetViews>
  <sheetFormatPr defaultRowHeight="75" customHeight="1" x14ac:dyDescent="0.35"/>
  <cols>
    <col min="1" max="1" width="6.7265625" style="3" customWidth="1"/>
    <col min="2" max="2" width="30.7265625" style="12" customWidth="1"/>
    <col min="3" max="3" width="22" style="12" customWidth="1"/>
    <col min="4" max="4" width="10.7265625" style="12" customWidth="1"/>
    <col min="5" max="5" width="24.81640625" style="13" customWidth="1"/>
    <col min="6" max="6" width="14.90625" style="3" customWidth="1"/>
    <col min="7" max="7" width="18.81640625" style="14" customWidth="1"/>
    <col min="8" max="8" width="10.6328125" style="14" bestFit="1" customWidth="1"/>
    <col min="9" max="9" width="9.81640625" style="3" bestFit="1" customWidth="1"/>
    <col min="10" max="10" width="17.54296875" style="3" bestFit="1" customWidth="1"/>
    <col min="11" max="11" width="48.90625" style="15" customWidth="1"/>
    <col min="12" max="12" width="24.453125" style="3" customWidth="1"/>
    <col min="13" max="14" width="10.453125" style="3" customWidth="1"/>
    <col min="15" max="15" width="10.453125" style="12" customWidth="1"/>
    <col min="16" max="16384" width="8.7265625" style="12"/>
  </cols>
  <sheetData>
    <row r="1" spans="1:14" s="3" customFormat="1" ht="75" customHeight="1" x14ac:dyDescent="0.35">
      <c r="A1" s="16" t="s">
        <v>0</v>
      </c>
      <c r="B1" s="16" t="s">
        <v>1</v>
      </c>
      <c r="C1" s="16" t="s">
        <v>2</v>
      </c>
      <c r="D1" s="16" t="s">
        <v>3</v>
      </c>
      <c r="E1" s="17" t="s">
        <v>4</v>
      </c>
      <c r="F1" s="17" t="s">
        <v>756</v>
      </c>
      <c r="G1" s="17" t="s">
        <v>5</v>
      </c>
      <c r="H1" s="17" t="s">
        <v>6</v>
      </c>
      <c r="I1" s="16" t="s">
        <v>761</v>
      </c>
      <c r="J1" s="16" t="s">
        <v>7</v>
      </c>
      <c r="K1" s="24" t="s">
        <v>763</v>
      </c>
      <c r="L1" s="16" t="s">
        <v>759</v>
      </c>
      <c r="M1" s="1"/>
      <c r="N1" s="1"/>
    </row>
    <row r="2" spans="1:14" ht="75" customHeight="1" x14ac:dyDescent="0.35">
      <c r="A2" s="29" t="s">
        <v>260</v>
      </c>
      <c r="B2" s="30" t="s">
        <v>12</v>
      </c>
      <c r="C2" s="31" t="s">
        <v>8</v>
      </c>
      <c r="D2" s="32" t="s">
        <v>9</v>
      </c>
      <c r="E2" s="33" t="s">
        <v>508</v>
      </c>
      <c r="F2" s="7" t="s">
        <v>757</v>
      </c>
      <c r="G2" s="9">
        <v>2023</v>
      </c>
      <c r="H2" s="9">
        <f>2026-G2</f>
        <v>3</v>
      </c>
      <c r="I2" s="7" t="s">
        <v>762</v>
      </c>
      <c r="J2" s="10" t="str">
        <f>IF(I2="Plt",
"Masih Plt",
IF(H2&lt;4,
"Periode 1",
IF(H2&lt;=8,
"Periode 2",
"Lebih dari 2 Periode"
)))</f>
        <v>Periode 1</v>
      </c>
      <c r="K2" s="11" t="str">
        <f>IF(I2="Plt",
"Pemberitahuan:"&amp;CHAR(10)&amp;
"Kepala Sekolah masih berstatus Pelaksana Tugas (Plt) dan belum ditetapkan sebagai Kepala Sekolah definitif.",
IF(AND(OR(J2="Periode 1",J2="Periode 2"),F2="Sudah"),
"Aman Tanpa Masalah",
IF(AND(OR(J2="Periode 1",J2="Periode 2"),F2="Belum"),
"Berdasarkan Permendikdasmen Nomor 7 Tahun 2025 karena:"&amp;CHAR(10)&amp;
"Pasal 32. Belum memiliki sertifikat Pelatihan BCKS",
IF(AND(J2="Lebih dari 2 Periode",F2="Belum"),
"Berdasarkan Permendikdasmen Nomor 7 Tahun 2025 karena:"&amp;CHAR(10)&amp;
"Pasal 31. Telah melewati batas periode penugasan"&amp;CHAR(10)&amp;
"Pasal 32. Belum memiliki sertifikat Pelatihan BCKS",
IF(J2="Lebih dari 2 Periode",
"Berdasarkan Permendikdasmen Nomor 7 Tahun 2025 karena:"&amp;CHAR(10)&amp;
"Pasal 31. Telah melewati batas periode penugasan",
""
)))))</f>
        <v>Aman Tanpa Masalah</v>
      </c>
      <c r="L2" s="10" t="str">
        <f>IF(J2="Masih Plt",
"Harap Segera Definitifkan",
IF(H2&lt;4,
"Aktif Periode 1",
IF(H2&lt;=8,
"Aktif Periode 2",
"Harus Diberhentikan"
)))</f>
        <v>Aktif Periode 1</v>
      </c>
      <c r="M2" s="2"/>
      <c r="N2" s="2"/>
    </row>
    <row r="3" spans="1:14" ht="75" customHeight="1" x14ac:dyDescent="0.35">
      <c r="A3" s="29" t="s">
        <v>261</v>
      </c>
      <c r="B3" s="30" t="s">
        <v>13</v>
      </c>
      <c r="C3" s="31" t="s">
        <v>8</v>
      </c>
      <c r="D3" s="32" t="s">
        <v>9</v>
      </c>
      <c r="E3" s="33" t="s">
        <v>509</v>
      </c>
      <c r="F3" s="7" t="s">
        <v>757</v>
      </c>
      <c r="G3" s="9">
        <v>2021</v>
      </c>
      <c r="H3" s="9">
        <f t="shared" ref="H3:H65" si="0">2026-G3</f>
        <v>5</v>
      </c>
      <c r="I3" s="7" t="s">
        <v>762</v>
      </c>
      <c r="J3" s="10" t="str">
        <f>IF(I3="Plt",
"Masih Plt",
IF(H3&lt;4,
"Periode 1",
IF(H3&lt;=8,
"Periode 2",
"Lebih dari 2 Periode"
)))</f>
        <v>Periode 2</v>
      </c>
      <c r="K3" s="11" t="str">
        <f t="shared" ref="K3:K66" si="1">IF(I3="Plt",
"Pemberitahuan:"&amp;CHAR(10)&amp;
"Kepala Sekolah masih berstatus Pelaksana Tugas (Plt) dan belum ditetapkan sebagai Kepala Sekolah definitif.",
IF(AND(OR(J3="Periode 1",J3="Periode 2"),F3="Sudah"),
"Aman Tanpa Masalah",
IF(AND(OR(J3="Periode 1",J3="Periode 2"),F3="Belum"),
"Berdasarkan Permendikdasmen Nomor 7 Tahun 2025 karena:"&amp;CHAR(10)&amp;
"Pasal 32. Belum memiliki sertifikat Pelatihan BCKS",
IF(AND(J3="Lebih dari 2 Periode",F3="Belum"),
"Berdasarkan Permendikdasmen Nomor 7 Tahun 2025 karena:"&amp;CHAR(10)&amp;
"Pasal 31. Telah melewati batas periode penugasan"&amp;CHAR(10)&amp;
"Pasal 32. Belum memiliki sertifikat Pelatihan BCKS",
IF(J3="Lebih dari 2 Periode",
"Berdasarkan Permendikdasmen Nomor 7 Tahun 2025 karena:"&amp;CHAR(10)&amp;
"Pasal 31. Telah melewati batas periode penugasan",
""
)))))</f>
        <v>Aman Tanpa Masalah</v>
      </c>
      <c r="L3" s="10" t="str">
        <f t="shared" ref="L3:L66" si="2">IF(J3="Masih Plt",
"Harap Segera Definitifkan",
IF(H3&lt;4,
"Aktif Periode 1",
IF(H3&lt;=8,
"Aktif Periode 2",
"Harus Diberhentikan"
)))</f>
        <v>Aktif Periode 2</v>
      </c>
      <c r="M3" s="2"/>
      <c r="N3" s="2"/>
    </row>
    <row r="4" spans="1:14" ht="75" customHeight="1" x14ac:dyDescent="0.35">
      <c r="A4" s="29" t="s">
        <v>262</v>
      </c>
      <c r="B4" s="30" t="s">
        <v>14</v>
      </c>
      <c r="C4" s="31" t="s">
        <v>8</v>
      </c>
      <c r="D4" s="32" t="s">
        <v>10</v>
      </c>
      <c r="E4" s="33" t="s">
        <v>510</v>
      </c>
      <c r="F4" s="7" t="s">
        <v>757</v>
      </c>
      <c r="G4" s="9">
        <v>2017</v>
      </c>
      <c r="H4" s="9">
        <f t="shared" si="0"/>
        <v>9</v>
      </c>
      <c r="I4" s="7" t="s">
        <v>762</v>
      </c>
      <c r="J4" s="10" t="str">
        <f t="shared" ref="J4:J66" si="3">IF(I4="Plt",
"Masih Plt",
IF(H4&lt;4,
"Periode 1",
IF(H4&lt;=8,
"Periode 2",
"Lebih dari 2 Periode"
)))</f>
        <v>Lebih dari 2 Periode</v>
      </c>
      <c r="K4" s="11" t="str">
        <f t="shared" si="1"/>
        <v>Berdasarkan Permendikdasmen Nomor 7 Tahun 2025 karena:
Pasal 31. Telah melewati batas periode penugasan</v>
      </c>
      <c r="L4" s="10" t="str">
        <f t="shared" si="2"/>
        <v>Harus Diberhentikan</v>
      </c>
      <c r="M4" s="2"/>
      <c r="N4" s="2"/>
    </row>
    <row r="5" spans="1:14" ht="75" customHeight="1" x14ac:dyDescent="0.35">
      <c r="A5" s="18" t="s">
        <v>263</v>
      </c>
      <c r="B5" s="25" t="s">
        <v>15</v>
      </c>
      <c r="C5" s="26" t="s">
        <v>8</v>
      </c>
      <c r="D5" s="27" t="s">
        <v>9</v>
      </c>
      <c r="E5" s="28" t="s">
        <v>511</v>
      </c>
      <c r="F5" s="7" t="s">
        <v>758</v>
      </c>
      <c r="G5" s="9">
        <v>2023</v>
      </c>
      <c r="H5" s="9">
        <f t="shared" si="0"/>
        <v>3</v>
      </c>
      <c r="I5" s="7" t="s">
        <v>762</v>
      </c>
      <c r="J5" s="10" t="str">
        <f t="shared" si="3"/>
        <v>Periode 1</v>
      </c>
      <c r="K5" s="11" t="str">
        <f t="shared" si="1"/>
        <v>Berdasarkan Permendikdasmen Nomor 7 Tahun 2025 karena:
Pasal 32. Belum memiliki sertifikat Pelatihan BCKS</v>
      </c>
      <c r="L5" s="10" t="str">
        <f t="shared" si="2"/>
        <v>Aktif Periode 1</v>
      </c>
      <c r="M5" s="2"/>
      <c r="N5" s="2"/>
    </row>
    <row r="6" spans="1:14" ht="75" customHeight="1" x14ac:dyDescent="0.35">
      <c r="A6" s="18" t="s">
        <v>264</v>
      </c>
      <c r="B6" s="25" t="s">
        <v>16</v>
      </c>
      <c r="C6" s="26" t="s">
        <v>8</v>
      </c>
      <c r="D6" s="27" t="s">
        <v>9</v>
      </c>
      <c r="E6" s="28" t="s">
        <v>512</v>
      </c>
      <c r="F6" s="7" t="s">
        <v>758</v>
      </c>
      <c r="G6" s="9">
        <v>2021</v>
      </c>
      <c r="H6" s="9">
        <f t="shared" si="0"/>
        <v>5</v>
      </c>
      <c r="I6" s="7" t="s">
        <v>762</v>
      </c>
      <c r="J6" s="10" t="str">
        <f t="shared" si="3"/>
        <v>Periode 2</v>
      </c>
      <c r="K6" s="11" t="str">
        <f t="shared" si="1"/>
        <v>Berdasarkan Permendikdasmen Nomor 7 Tahun 2025 karena:
Pasal 32. Belum memiliki sertifikat Pelatihan BCKS</v>
      </c>
      <c r="L6" s="10" t="str">
        <f t="shared" si="2"/>
        <v>Aktif Periode 2</v>
      </c>
      <c r="M6" s="2"/>
      <c r="N6" s="2"/>
    </row>
    <row r="7" spans="1:14" ht="75" customHeight="1" x14ac:dyDescent="0.35">
      <c r="A7" s="18" t="s">
        <v>265</v>
      </c>
      <c r="B7" s="25" t="s">
        <v>17</v>
      </c>
      <c r="C7" s="26" t="s">
        <v>8</v>
      </c>
      <c r="D7" s="27" t="s">
        <v>9</v>
      </c>
      <c r="E7" s="28" t="s">
        <v>513</v>
      </c>
      <c r="F7" s="7" t="s">
        <v>758</v>
      </c>
      <c r="G7" s="9">
        <v>2017</v>
      </c>
      <c r="H7" s="9">
        <f t="shared" si="0"/>
        <v>9</v>
      </c>
      <c r="I7" s="7" t="s">
        <v>762</v>
      </c>
      <c r="J7" s="10" t="str">
        <f t="shared" si="3"/>
        <v>Lebih dari 2 Periode</v>
      </c>
      <c r="K7" s="11" t="str">
        <f t="shared" si="1"/>
        <v>Berdasarkan Permendikdasmen Nomor 7 Tahun 2025 karena:
Pasal 31. Telah melewati batas periode penugasan
Pasal 32. Belum memiliki sertifikat Pelatihan BCKS</v>
      </c>
      <c r="L7" s="10" t="str">
        <f t="shared" si="2"/>
        <v>Harus Diberhentikan</v>
      </c>
      <c r="M7" s="2"/>
      <c r="N7" s="2"/>
    </row>
    <row r="8" spans="1:14" ht="75" customHeight="1" x14ac:dyDescent="0.35">
      <c r="A8" s="19" t="s">
        <v>266</v>
      </c>
      <c r="B8" s="20" t="s">
        <v>18</v>
      </c>
      <c r="C8" s="21" t="s">
        <v>8</v>
      </c>
      <c r="D8" s="22" t="s">
        <v>10</v>
      </c>
      <c r="E8" s="23" t="s">
        <v>514</v>
      </c>
      <c r="F8" s="7" t="s">
        <v>757</v>
      </c>
      <c r="G8" s="9">
        <v>2026</v>
      </c>
      <c r="H8" s="9">
        <f t="shared" si="0"/>
        <v>0</v>
      </c>
      <c r="I8" s="7" t="s">
        <v>760</v>
      </c>
      <c r="J8" s="10" t="str">
        <f t="shared" si="3"/>
        <v>Masih Plt</v>
      </c>
      <c r="K8" s="11" t="str">
        <f t="shared" si="1"/>
        <v>Pemberitahuan:
Kepala Sekolah masih berstatus Pelaksana Tugas (Plt) dan belum ditetapkan sebagai Kepala Sekolah definitif.</v>
      </c>
      <c r="L8" s="10" t="str">
        <f t="shared" si="2"/>
        <v>Harap Segera Definitifkan</v>
      </c>
      <c r="M8" s="2"/>
      <c r="N8" s="2"/>
    </row>
    <row r="9" spans="1:14" ht="75" customHeight="1" x14ac:dyDescent="0.35">
      <c r="A9" s="19" t="s">
        <v>267</v>
      </c>
      <c r="B9" s="20" t="s">
        <v>19</v>
      </c>
      <c r="C9" s="21" t="s">
        <v>8</v>
      </c>
      <c r="D9" s="22" t="s">
        <v>10</v>
      </c>
      <c r="E9" s="23" t="s">
        <v>515</v>
      </c>
      <c r="F9" s="7" t="s">
        <v>758</v>
      </c>
      <c r="G9" s="9">
        <v>2026</v>
      </c>
      <c r="H9" s="9">
        <f t="shared" si="0"/>
        <v>0</v>
      </c>
      <c r="I9" s="7" t="s">
        <v>760</v>
      </c>
      <c r="J9" s="10" t="str">
        <f t="shared" si="3"/>
        <v>Masih Plt</v>
      </c>
      <c r="K9" s="11" t="str">
        <f t="shared" si="1"/>
        <v>Pemberitahuan:
Kepala Sekolah masih berstatus Pelaksana Tugas (Plt) dan belum ditetapkan sebagai Kepala Sekolah definitif.</v>
      </c>
      <c r="L9" s="10" t="str">
        <f t="shared" si="2"/>
        <v>Harap Segera Definitifkan</v>
      </c>
      <c r="M9" s="2"/>
      <c r="N9" s="2"/>
    </row>
    <row r="10" spans="1:14" ht="75" customHeight="1" x14ac:dyDescent="0.35">
      <c r="A10" s="4" t="s">
        <v>268</v>
      </c>
      <c r="B10" s="5" t="s">
        <v>20</v>
      </c>
      <c r="C10" s="6" t="s">
        <v>8</v>
      </c>
      <c r="D10" s="7" t="s">
        <v>9</v>
      </c>
      <c r="E10" s="8" t="s">
        <v>516</v>
      </c>
      <c r="F10" s="7" t="s">
        <v>757</v>
      </c>
      <c r="G10" s="9">
        <v>2026</v>
      </c>
      <c r="H10" s="9">
        <f t="shared" si="0"/>
        <v>0</v>
      </c>
      <c r="I10" s="7" t="s">
        <v>762</v>
      </c>
      <c r="J10" s="10" t="str">
        <f t="shared" si="3"/>
        <v>Periode 1</v>
      </c>
      <c r="K10" s="11" t="str">
        <f t="shared" si="1"/>
        <v>Aman Tanpa Masalah</v>
      </c>
      <c r="L10" s="10" t="str">
        <f t="shared" si="2"/>
        <v>Aktif Periode 1</v>
      </c>
      <c r="M10" s="2"/>
      <c r="N10" s="2"/>
    </row>
    <row r="11" spans="1:14" ht="75" customHeight="1" x14ac:dyDescent="0.35">
      <c r="A11" s="4" t="s">
        <v>269</v>
      </c>
      <c r="B11" s="5" t="s">
        <v>21</v>
      </c>
      <c r="C11" s="6" t="s">
        <v>8</v>
      </c>
      <c r="D11" s="7" t="s">
        <v>10</v>
      </c>
      <c r="E11" s="8" t="s">
        <v>517</v>
      </c>
      <c r="F11" s="7" t="s">
        <v>757</v>
      </c>
      <c r="G11" s="9">
        <v>2026</v>
      </c>
      <c r="H11" s="9">
        <f t="shared" si="0"/>
        <v>0</v>
      </c>
      <c r="I11" s="7" t="s">
        <v>762</v>
      </c>
      <c r="J11" s="10" t="str">
        <f t="shared" si="3"/>
        <v>Periode 1</v>
      </c>
      <c r="K11" s="11" t="str">
        <f t="shared" si="1"/>
        <v>Aman Tanpa Masalah</v>
      </c>
      <c r="L11" s="10" t="str">
        <f t="shared" si="2"/>
        <v>Aktif Periode 1</v>
      </c>
      <c r="M11" s="2"/>
      <c r="N11" s="2"/>
    </row>
    <row r="12" spans="1:14" ht="75" customHeight="1" x14ac:dyDescent="0.35">
      <c r="A12" s="4" t="s">
        <v>270</v>
      </c>
      <c r="B12" s="5" t="s">
        <v>22</v>
      </c>
      <c r="C12" s="6" t="s">
        <v>8</v>
      </c>
      <c r="D12" s="7" t="s">
        <v>9</v>
      </c>
      <c r="E12" s="8" t="s">
        <v>518</v>
      </c>
      <c r="F12" s="7" t="s">
        <v>757</v>
      </c>
      <c r="G12" s="9">
        <v>2022</v>
      </c>
      <c r="H12" s="9">
        <f t="shared" si="0"/>
        <v>4</v>
      </c>
      <c r="I12" s="7" t="s">
        <v>762</v>
      </c>
      <c r="J12" s="10" t="str">
        <f t="shared" si="3"/>
        <v>Periode 2</v>
      </c>
      <c r="K12" s="11" t="str">
        <f t="shared" si="1"/>
        <v>Aman Tanpa Masalah</v>
      </c>
      <c r="L12" s="10" t="str">
        <f t="shared" si="2"/>
        <v>Aktif Periode 2</v>
      </c>
      <c r="M12" s="2"/>
      <c r="N12" s="2"/>
    </row>
    <row r="13" spans="1:14" ht="75" customHeight="1" x14ac:dyDescent="0.35">
      <c r="A13" s="4" t="s">
        <v>271</v>
      </c>
      <c r="B13" s="5" t="s">
        <v>23</v>
      </c>
      <c r="C13" s="6" t="s">
        <v>8</v>
      </c>
      <c r="D13" s="7" t="s">
        <v>9</v>
      </c>
      <c r="E13" s="8" t="s">
        <v>519</v>
      </c>
      <c r="F13" s="7" t="s">
        <v>758</v>
      </c>
      <c r="G13" s="9">
        <v>2022</v>
      </c>
      <c r="H13" s="9">
        <f t="shared" si="0"/>
        <v>4</v>
      </c>
      <c r="I13" s="7" t="s">
        <v>762</v>
      </c>
      <c r="J13" s="10" t="str">
        <f t="shared" si="3"/>
        <v>Periode 2</v>
      </c>
      <c r="K13" s="11" t="str">
        <f t="shared" si="1"/>
        <v>Berdasarkan Permendikdasmen Nomor 7 Tahun 2025 karena:
Pasal 32. Belum memiliki sertifikat Pelatihan BCKS</v>
      </c>
      <c r="L13" s="10" t="str">
        <f t="shared" si="2"/>
        <v>Aktif Periode 2</v>
      </c>
      <c r="M13" s="2"/>
      <c r="N13" s="2"/>
    </row>
    <row r="14" spans="1:14" ht="75" customHeight="1" x14ac:dyDescent="0.35">
      <c r="A14" s="4" t="s">
        <v>272</v>
      </c>
      <c r="B14" s="5" t="s">
        <v>24</v>
      </c>
      <c r="C14" s="6" t="s">
        <v>8</v>
      </c>
      <c r="D14" s="7" t="s">
        <v>9</v>
      </c>
      <c r="E14" s="8" t="s">
        <v>520</v>
      </c>
      <c r="F14" s="7" t="s">
        <v>758</v>
      </c>
      <c r="G14" s="9">
        <v>2022</v>
      </c>
      <c r="H14" s="9">
        <f t="shared" si="0"/>
        <v>4</v>
      </c>
      <c r="I14" s="7" t="s">
        <v>762</v>
      </c>
      <c r="J14" s="10" t="str">
        <f t="shared" si="3"/>
        <v>Periode 2</v>
      </c>
      <c r="K14" s="11" t="str">
        <f t="shared" si="1"/>
        <v>Berdasarkan Permendikdasmen Nomor 7 Tahun 2025 karena:
Pasal 32. Belum memiliki sertifikat Pelatihan BCKS</v>
      </c>
      <c r="L14" s="10" t="str">
        <f t="shared" si="2"/>
        <v>Aktif Periode 2</v>
      </c>
      <c r="M14" s="2"/>
      <c r="N14" s="2"/>
    </row>
    <row r="15" spans="1:14" ht="75" customHeight="1" x14ac:dyDescent="0.35">
      <c r="A15" s="4" t="s">
        <v>273</v>
      </c>
      <c r="B15" s="5" t="s">
        <v>25</v>
      </c>
      <c r="C15" s="6" t="s">
        <v>8</v>
      </c>
      <c r="D15" s="7" t="s">
        <v>9</v>
      </c>
      <c r="E15" s="8" t="s">
        <v>521</v>
      </c>
      <c r="F15" s="7" t="s">
        <v>758</v>
      </c>
      <c r="G15" s="9">
        <v>2022</v>
      </c>
      <c r="H15" s="9">
        <f t="shared" si="0"/>
        <v>4</v>
      </c>
      <c r="I15" s="7" t="s">
        <v>762</v>
      </c>
      <c r="J15" s="10" t="str">
        <f t="shared" si="3"/>
        <v>Periode 2</v>
      </c>
      <c r="K15" s="11" t="str">
        <f t="shared" si="1"/>
        <v>Berdasarkan Permendikdasmen Nomor 7 Tahun 2025 karena:
Pasal 32. Belum memiliki sertifikat Pelatihan BCKS</v>
      </c>
      <c r="L15" s="10" t="str">
        <f t="shared" si="2"/>
        <v>Aktif Periode 2</v>
      </c>
      <c r="M15" s="2"/>
      <c r="N15" s="2"/>
    </row>
    <row r="16" spans="1:14" ht="75" customHeight="1" x14ac:dyDescent="0.35">
      <c r="A16" s="4" t="s">
        <v>274</v>
      </c>
      <c r="B16" s="5" t="s">
        <v>26</v>
      </c>
      <c r="C16" s="6" t="s">
        <v>8</v>
      </c>
      <c r="D16" s="7" t="s">
        <v>9</v>
      </c>
      <c r="E16" s="8" t="s">
        <v>522</v>
      </c>
      <c r="F16" s="7" t="s">
        <v>757</v>
      </c>
      <c r="G16" s="9">
        <v>2022</v>
      </c>
      <c r="H16" s="9">
        <f t="shared" si="0"/>
        <v>4</v>
      </c>
      <c r="I16" s="7" t="s">
        <v>762</v>
      </c>
      <c r="J16" s="10" t="str">
        <f t="shared" si="3"/>
        <v>Periode 2</v>
      </c>
      <c r="K16" s="11" t="str">
        <f t="shared" si="1"/>
        <v>Aman Tanpa Masalah</v>
      </c>
      <c r="L16" s="10" t="str">
        <f t="shared" si="2"/>
        <v>Aktif Periode 2</v>
      </c>
      <c r="M16" s="2"/>
      <c r="N16" s="2"/>
    </row>
    <row r="17" spans="1:14" ht="75" customHeight="1" x14ac:dyDescent="0.35">
      <c r="A17" s="4" t="s">
        <v>275</v>
      </c>
      <c r="B17" s="5" t="s">
        <v>27</v>
      </c>
      <c r="C17" s="6" t="s">
        <v>8</v>
      </c>
      <c r="D17" s="7" t="s">
        <v>9</v>
      </c>
      <c r="E17" s="8" t="s">
        <v>523</v>
      </c>
      <c r="F17" s="7" t="s">
        <v>758</v>
      </c>
      <c r="G17" s="9">
        <v>2017</v>
      </c>
      <c r="H17" s="9">
        <f t="shared" si="0"/>
        <v>9</v>
      </c>
      <c r="I17" s="7" t="s">
        <v>762</v>
      </c>
      <c r="J17" s="10" t="str">
        <f t="shared" si="3"/>
        <v>Lebih dari 2 Periode</v>
      </c>
      <c r="K17" s="11" t="str">
        <f t="shared" si="1"/>
        <v>Berdasarkan Permendikdasmen Nomor 7 Tahun 2025 karena:
Pasal 31. Telah melewati batas periode penugasan
Pasal 32. Belum memiliki sertifikat Pelatihan BCKS</v>
      </c>
      <c r="L17" s="10" t="str">
        <f t="shared" si="2"/>
        <v>Harus Diberhentikan</v>
      </c>
      <c r="M17" s="2"/>
      <c r="N17" s="2"/>
    </row>
    <row r="18" spans="1:14" ht="75" customHeight="1" x14ac:dyDescent="0.35">
      <c r="A18" s="4" t="s">
        <v>276</v>
      </c>
      <c r="B18" s="5" t="s">
        <v>28</v>
      </c>
      <c r="C18" s="6" t="s">
        <v>8</v>
      </c>
      <c r="D18" s="7" t="s">
        <v>9</v>
      </c>
      <c r="E18" s="8" t="s">
        <v>524</v>
      </c>
      <c r="F18" s="7" t="s">
        <v>758</v>
      </c>
      <c r="G18" s="9">
        <v>2026</v>
      </c>
      <c r="H18" s="9">
        <f t="shared" si="0"/>
        <v>0</v>
      </c>
      <c r="I18" s="7" t="s">
        <v>762</v>
      </c>
      <c r="J18" s="10" t="str">
        <f t="shared" si="3"/>
        <v>Periode 1</v>
      </c>
      <c r="K18" s="11" t="str">
        <f t="shared" si="1"/>
        <v>Berdasarkan Permendikdasmen Nomor 7 Tahun 2025 karena:
Pasal 32. Belum memiliki sertifikat Pelatihan BCKS</v>
      </c>
      <c r="L18" s="10" t="str">
        <f t="shared" si="2"/>
        <v>Aktif Periode 1</v>
      </c>
      <c r="M18" s="2"/>
      <c r="N18" s="2"/>
    </row>
    <row r="19" spans="1:14" ht="75" customHeight="1" x14ac:dyDescent="0.35">
      <c r="A19" s="4" t="s">
        <v>277</v>
      </c>
      <c r="B19" s="5" t="s">
        <v>29</v>
      </c>
      <c r="C19" s="6" t="s">
        <v>8</v>
      </c>
      <c r="D19" s="7" t="s">
        <v>9</v>
      </c>
      <c r="E19" s="8" t="s">
        <v>525</v>
      </c>
      <c r="F19" s="7" t="s">
        <v>758</v>
      </c>
      <c r="G19" s="9">
        <v>2026</v>
      </c>
      <c r="H19" s="9">
        <f t="shared" si="0"/>
        <v>0</v>
      </c>
      <c r="I19" s="7" t="s">
        <v>762</v>
      </c>
      <c r="J19" s="10" t="str">
        <f t="shared" si="3"/>
        <v>Periode 1</v>
      </c>
      <c r="K19" s="11" t="str">
        <f t="shared" si="1"/>
        <v>Berdasarkan Permendikdasmen Nomor 7 Tahun 2025 karena:
Pasal 32. Belum memiliki sertifikat Pelatihan BCKS</v>
      </c>
      <c r="L19" s="10" t="str">
        <f t="shared" si="2"/>
        <v>Aktif Periode 1</v>
      </c>
      <c r="M19" s="2"/>
      <c r="N19" s="2"/>
    </row>
    <row r="20" spans="1:14" ht="75" customHeight="1" x14ac:dyDescent="0.35">
      <c r="A20" s="4" t="s">
        <v>278</v>
      </c>
      <c r="B20" s="5" t="s">
        <v>30</v>
      </c>
      <c r="C20" s="6" t="s">
        <v>8</v>
      </c>
      <c r="D20" s="7" t="s">
        <v>10</v>
      </c>
      <c r="E20" s="8" t="s">
        <v>526</v>
      </c>
      <c r="F20" s="7" t="s">
        <v>758</v>
      </c>
      <c r="G20" s="9">
        <v>2021</v>
      </c>
      <c r="H20" s="9">
        <f t="shared" si="0"/>
        <v>5</v>
      </c>
      <c r="I20" s="7" t="s">
        <v>762</v>
      </c>
      <c r="J20" s="10" t="str">
        <f t="shared" si="3"/>
        <v>Periode 2</v>
      </c>
      <c r="K20" s="11" t="str">
        <f t="shared" si="1"/>
        <v>Berdasarkan Permendikdasmen Nomor 7 Tahun 2025 karena:
Pasal 32. Belum memiliki sertifikat Pelatihan BCKS</v>
      </c>
      <c r="L20" s="10" t="str">
        <f t="shared" si="2"/>
        <v>Aktif Periode 2</v>
      </c>
      <c r="M20" s="2"/>
      <c r="N20" s="2"/>
    </row>
    <row r="21" spans="1:14" ht="75" customHeight="1" x14ac:dyDescent="0.35">
      <c r="A21" s="4" t="s">
        <v>279</v>
      </c>
      <c r="B21" s="5" t="s">
        <v>31</v>
      </c>
      <c r="C21" s="6" t="s">
        <v>8</v>
      </c>
      <c r="D21" s="7" t="s">
        <v>10</v>
      </c>
      <c r="E21" s="8" t="s">
        <v>527</v>
      </c>
      <c r="F21" s="7" t="s">
        <v>757</v>
      </c>
      <c r="G21" s="9">
        <v>2021</v>
      </c>
      <c r="H21" s="9">
        <f t="shared" si="0"/>
        <v>5</v>
      </c>
      <c r="I21" s="7" t="s">
        <v>762</v>
      </c>
      <c r="J21" s="10" t="str">
        <f t="shared" si="3"/>
        <v>Periode 2</v>
      </c>
      <c r="K21" s="11" t="str">
        <f t="shared" si="1"/>
        <v>Aman Tanpa Masalah</v>
      </c>
      <c r="L21" s="10" t="str">
        <f t="shared" si="2"/>
        <v>Aktif Periode 2</v>
      </c>
      <c r="M21" s="2"/>
      <c r="N21" s="2"/>
    </row>
    <row r="22" spans="1:14" ht="75" customHeight="1" x14ac:dyDescent="0.35">
      <c r="A22" s="4" t="s">
        <v>280</v>
      </c>
      <c r="B22" s="5" t="s">
        <v>32</v>
      </c>
      <c r="C22" s="6" t="s">
        <v>8</v>
      </c>
      <c r="D22" s="7" t="s">
        <v>9</v>
      </c>
      <c r="E22" s="8" t="s">
        <v>528</v>
      </c>
      <c r="F22" s="7" t="s">
        <v>757</v>
      </c>
      <c r="G22" s="9">
        <v>2017</v>
      </c>
      <c r="H22" s="9">
        <f t="shared" si="0"/>
        <v>9</v>
      </c>
      <c r="I22" s="7" t="s">
        <v>762</v>
      </c>
      <c r="J22" s="10" t="str">
        <f t="shared" si="3"/>
        <v>Lebih dari 2 Periode</v>
      </c>
      <c r="K22" s="11" t="str">
        <f t="shared" si="1"/>
        <v>Berdasarkan Permendikdasmen Nomor 7 Tahun 2025 karena:
Pasal 31. Telah melewati batas periode penugasan</v>
      </c>
      <c r="L22" s="10" t="str">
        <f t="shared" si="2"/>
        <v>Harus Diberhentikan</v>
      </c>
      <c r="M22" s="2"/>
      <c r="N22" s="2"/>
    </row>
    <row r="23" spans="1:14" ht="75" customHeight="1" x14ac:dyDescent="0.35">
      <c r="A23" s="4" t="s">
        <v>281</v>
      </c>
      <c r="B23" s="5" t="s">
        <v>33</v>
      </c>
      <c r="C23" s="6" t="s">
        <v>8</v>
      </c>
      <c r="D23" s="7" t="s">
        <v>10</v>
      </c>
      <c r="E23" s="8" t="s">
        <v>529</v>
      </c>
      <c r="F23" s="7" t="s">
        <v>758</v>
      </c>
      <c r="G23" s="9">
        <v>2021</v>
      </c>
      <c r="H23" s="9">
        <f t="shared" si="0"/>
        <v>5</v>
      </c>
      <c r="I23" s="7" t="s">
        <v>762</v>
      </c>
      <c r="J23" s="10" t="str">
        <f t="shared" si="3"/>
        <v>Periode 2</v>
      </c>
      <c r="K23" s="11" t="str">
        <f t="shared" si="1"/>
        <v>Berdasarkan Permendikdasmen Nomor 7 Tahun 2025 karena:
Pasal 32. Belum memiliki sertifikat Pelatihan BCKS</v>
      </c>
      <c r="L23" s="10" t="str">
        <f t="shared" si="2"/>
        <v>Aktif Periode 2</v>
      </c>
      <c r="M23" s="2"/>
      <c r="N23" s="2"/>
    </row>
    <row r="24" spans="1:14" ht="75" customHeight="1" x14ac:dyDescent="0.35">
      <c r="A24" s="4" t="s">
        <v>282</v>
      </c>
      <c r="B24" s="5" t="s">
        <v>34</v>
      </c>
      <c r="C24" s="6" t="s">
        <v>8</v>
      </c>
      <c r="D24" s="7" t="s">
        <v>9</v>
      </c>
      <c r="E24" s="8" t="s">
        <v>530</v>
      </c>
      <c r="F24" s="7" t="s">
        <v>758</v>
      </c>
      <c r="G24" s="9">
        <v>2021</v>
      </c>
      <c r="H24" s="9">
        <f t="shared" si="0"/>
        <v>5</v>
      </c>
      <c r="I24" s="7" t="s">
        <v>762</v>
      </c>
      <c r="J24" s="10" t="str">
        <f t="shared" si="3"/>
        <v>Periode 2</v>
      </c>
      <c r="K24" s="11" t="str">
        <f t="shared" si="1"/>
        <v>Berdasarkan Permendikdasmen Nomor 7 Tahun 2025 karena:
Pasal 32. Belum memiliki sertifikat Pelatihan BCKS</v>
      </c>
      <c r="L24" s="10" t="str">
        <f t="shared" si="2"/>
        <v>Aktif Periode 2</v>
      </c>
      <c r="M24" s="2"/>
      <c r="N24" s="2"/>
    </row>
    <row r="25" spans="1:14" ht="75" customHeight="1" x14ac:dyDescent="0.35">
      <c r="A25" s="4" t="s">
        <v>283</v>
      </c>
      <c r="B25" s="5" t="s">
        <v>35</v>
      </c>
      <c r="C25" s="6" t="s">
        <v>8</v>
      </c>
      <c r="D25" s="7" t="s">
        <v>9</v>
      </c>
      <c r="E25" s="8" t="s">
        <v>531</v>
      </c>
      <c r="F25" s="7" t="s">
        <v>758</v>
      </c>
      <c r="G25" s="9">
        <v>2026</v>
      </c>
      <c r="H25" s="9">
        <f t="shared" si="0"/>
        <v>0</v>
      </c>
      <c r="I25" s="7" t="s">
        <v>762</v>
      </c>
      <c r="J25" s="10" t="str">
        <f t="shared" si="3"/>
        <v>Periode 1</v>
      </c>
      <c r="K25" s="11" t="str">
        <f t="shared" si="1"/>
        <v>Berdasarkan Permendikdasmen Nomor 7 Tahun 2025 karena:
Pasal 32. Belum memiliki sertifikat Pelatihan BCKS</v>
      </c>
      <c r="L25" s="10" t="str">
        <f t="shared" si="2"/>
        <v>Aktif Periode 1</v>
      </c>
      <c r="M25" s="2"/>
      <c r="N25" s="2"/>
    </row>
    <row r="26" spans="1:14" ht="75" customHeight="1" x14ac:dyDescent="0.35">
      <c r="A26" s="4" t="s">
        <v>284</v>
      </c>
      <c r="B26" s="5" t="s">
        <v>36</v>
      </c>
      <c r="C26" s="6" t="s">
        <v>8</v>
      </c>
      <c r="D26" s="7" t="s">
        <v>9</v>
      </c>
      <c r="E26" s="8" t="s">
        <v>532</v>
      </c>
      <c r="F26" s="7" t="s">
        <v>757</v>
      </c>
      <c r="G26" s="9">
        <v>2026</v>
      </c>
      <c r="H26" s="9">
        <f t="shared" si="0"/>
        <v>0</v>
      </c>
      <c r="I26" s="7" t="s">
        <v>762</v>
      </c>
      <c r="J26" s="10" t="str">
        <f t="shared" si="3"/>
        <v>Periode 1</v>
      </c>
      <c r="K26" s="11" t="str">
        <f t="shared" si="1"/>
        <v>Aman Tanpa Masalah</v>
      </c>
      <c r="L26" s="10" t="str">
        <f t="shared" si="2"/>
        <v>Aktif Periode 1</v>
      </c>
      <c r="M26" s="2"/>
      <c r="N26" s="2"/>
    </row>
    <row r="27" spans="1:14" ht="75" customHeight="1" x14ac:dyDescent="0.35">
      <c r="A27" s="4" t="s">
        <v>285</v>
      </c>
      <c r="B27" s="5" t="s">
        <v>37</v>
      </c>
      <c r="C27" s="6" t="s">
        <v>8</v>
      </c>
      <c r="D27" s="7" t="s">
        <v>9</v>
      </c>
      <c r="E27" s="8" t="s">
        <v>533</v>
      </c>
      <c r="F27" s="7" t="s">
        <v>758</v>
      </c>
      <c r="G27" s="9">
        <v>2026</v>
      </c>
      <c r="H27" s="9">
        <f t="shared" si="0"/>
        <v>0</v>
      </c>
      <c r="I27" s="7" t="s">
        <v>762</v>
      </c>
      <c r="J27" s="10" t="str">
        <f t="shared" si="3"/>
        <v>Periode 1</v>
      </c>
      <c r="K27" s="11" t="str">
        <f t="shared" si="1"/>
        <v>Berdasarkan Permendikdasmen Nomor 7 Tahun 2025 karena:
Pasal 32. Belum memiliki sertifikat Pelatihan BCKS</v>
      </c>
      <c r="L27" s="10" t="str">
        <f t="shared" si="2"/>
        <v>Aktif Periode 1</v>
      </c>
      <c r="M27" s="2"/>
      <c r="N27" s="2"/>
    </row>
    <row r="28" spans="1:14" ht="75" customHeight="1" x14ac:dyDescent="0.35">
      <c r="A28" s="4" t="s">
        <v>286</v>
      </c>
      <c r="B28" s="5" t="s">
        <v>38</v>
      </c>
      <c r="C28" s="6" t="s">
        <v>8</v>
      </c>
      <c r="D28" s="7" t="s">
        <v>9</v>
      </c>
      <c r="E28" s="8" t="s">
        <v>534</v>
      </c>
      <c r="F28" s="7" t="s">
        <v>758</v>
      </c>
      <c r="G28" s="9">
        <v>2026</v>
      </c>
      <c r="H28" s="9">
        <f t="shared" si="0"/>
        <v>0</v>
      </c>
      <c r="I28" s="7" t="s">
        <v>762</v>
      </c>
      <c r="J28" s="10" t="str">
        <f t="shared" si="3"/>
        <v>Periode 1</v>
      </c>
      <c r="K28" s="11" t="str">
        <f t="shared" si="1"/>
        <v>Berdasarkan Permendikdasmen Nomor 7 Tahun 2025 karena:
Pasal 32. Belum memiliki sertifikat Pelatihan BCKS</v>
      </c>
      <c r="L28" s="10" t="str">
        <f t="shared" si="2"/>
        <v>Aktif Periode 1</v>
      </c>
      <c r="M28" s="2"/>
      <c r="N28" s="2"/>
    </row>
    <row r="29" spans="1:14" ht="75" customHeight="1" x14ac:dyDescent="0.35">
      <c r="A29" s="4" t="s">
        <v>287</v>
      </c>
      <c r="B29" s="5" t="s">
        <v>39</v>
      </c>
      <c r="C29" s="6" t="s">
        <v>8</v>
      </c>
      <c r="D29" s="7" t="s">
        <v>9</v>
      </c>
      <c r="E29" s="8" t="s">
        <v>535</v>
      </c>
      <c r="F29" s="7" t="s">
        <v>758</v>
      </c>
      <c r="G29" s="9">
        <v>2026</v>
      </c>
      <c r="H29" s="9">
        <f t="shared" si="0"/>
        <v>0</v>
      </c>
      <c r="I29" s="7" t="s">
        <v>762</v>
      </c>
      <c r="J29" s="10" t="str">
        <f t="shared" si="3"/>
        <v>Periode 1</v>
      </c>
      <c r="K29" s="11" t="str">
        <f t="shared" si="1"/>
        <v>Berdasarkan Permendikdasmen Nomor 7 Tahun 2025 karena:
Pasal 32. Belum memiliki sertifikat Pelatihan BCKS</v>
      </c>
      <c r="L29" s="10" t="str">
        <f t="shared" si="2"/>
        <v>Aktif Periode 1</v>
      </c>
      <c r="M29" s="2"/>
      <c r="N29" s="2"/>
    </row>
    <row r="30" spans="1:14" ht="75" customHeight="1" x14ac:dyDescent="0.35">
      <c r="A30" s="4" t="s">
        <v>288</v>
      </c>
      <c r="B30" s="5" t="s">
        <v>40</v>
      </c>
      <c r="C30" s="6" t="s">
        <v>8</v>
      </c>
      <c r="D30" s="7" t="s">
        <v>9</v>
      </c>
      <c r="E30" s="8" t="s">
        <v>536</v>
      </c>
      <c r="F30" s="7" t="s">
        <v>757</v>
      </c>
      <c r="G30" s="9">
        <v>2023</v>
      </c>
      <c r="H30" s="9">
        <f t="shared" si="0"/>
        <v>3</v>
      </c>
      <c r="I30" s="7" t="s">
        <v>762</v>
      </c>
      <c r="J30" s="10" t="str">
        <f t="shared" si="3"/>
        <v>Periode 1</v>
      </c>
      <c r="K30" s="11" t="str">
        <f t="shared" si="1"/>
        <v>Aman Tanpa Masalah</v>
      </c>
      <c r="L30" s="10" t="str">
        <f t="shared" si="2"/>
        <v>Aktif Periode 1</v>
      </c>
      <c r="M30" s="2"/>
      <c r="N30" s="2"/>
    </row>
    <row r="31" spans="1:14" ht="75" customHeight="1" x14ac:dyDescent="0.35">
      <c r="A31" s="4" t="s">
        <v>289</v>
      </c>
      <c r="B31" s="5" t="s">
        <v>41</v>
      </c>
      <c r="C31" s="6" t="s">
        <v>8</v>
      </c>
      <c r="D31" s="7" t="s">
        <v>9</v>
      </c>
      <c r="E31" s="8" t="s">
        <v>537</v>
      </c>
      <c r="F31" s="7" t="s">
        <v>758</v>
      </c>
      <c r="G31" s="9">
        <v>2023</v>
      </c>
      <c r="H31" s="9">
        <f t="shared" si="0"/>
        <v>3</v>
      </c>
      <c r="I31" s="7" t="s">
        <v>762</v>
      </c>
      <c r="J31" s="10" t="str">
        <f t="shared" si="3"/>
        <v>Periode 1</v>
      </c>
      <c r="K31" s="11" t="str">
        <f t="shared" si="1"/>
        <v>Berdasarkan Permendikdasmen Nomor 7 Tahun 2025 karena:
Pasal 32. Belum memiliki sertifikat Pelatihan BCKS</v>
      </c>
      <c r="L31" s="10" t="str">
        <f t="shared" si="2"/>
        <v>Aktif Periode 1</v>
      </c>
      <c r="M31" s="2"/>
      <c r="N31" s="2"/>
    </row>
    <row r="32" spans="1:14" ht="75" customHeight="1" x14ac:dyDescent="0.35">
      <c r="A32" s="4" t="s">
        <v>290</v>
      </c>
      <c r="B32" s="5" t="s">
        <v>42</v>
      </c>
      <c r="C32" s="6" t="s">
        <v>8</v>
      </c>
      <c r="D32" s="7" t="s">
        <v>10</v>
      </c>
      <c r="E32" s="8" t="s">
        <v>538</v>
      </c>
      <c r="F32" s="7" t="s">
        <v>758</v>
      </c>
      <c r="G32" s="9">
        <v>2023</v>
      </c>
      <c r="H32" s="9">
        <f t="shared" si="0"/>
        <v>3</v>
      </c>
      <c r="I32" s="7" t="s">
        <v>762</v>
      </c>
      <c r="J32" s="10" t="str">
        <f t="shared" si="3"/>
        <v>Periode 1</v>
      </c>
      <c r="K32" s="11" t="str">
        <f t="shared" si="1"/>
        <v>Berdasarkan Permendikdasmen Nomor 7 Tahun 2025 karena:
Pasal 32. Belum memiliki sertifikat Pelatihan BCKS</v>
      </c>
      <c r="L32" s="10" t="str">
        <f t="shared" si="2"/>
        <v>Aktif Periode 1</v>
      </c>
      <c r="M32" s="2"/>
      <c r="N32" s="2"/>
    </row>
    <row r="33" spans="1:14" ht="75" customHeight="1" x14ac:dyDescent="0.35">
      <c r="A33" s="4" t="s">
        <v>291</v>
      </c>
      <c r="B33" s="5" t="s">
        <v>43</v>
      </c>
      <c r="C33" s="6" t="s">
        <v>8</v>
      </c>
      <c r="D33" s="7" t="s">
        <v>9</v>
      </c>
      <c r="E33" s="8" t="s">
        <v>539</v>
      </c>
      <c r="F33" s="7" t="s">
        <v>758</v>
      </c>
      <c r="G33" s="9">
        <v>2023</v>
      </c>
      <c r="H33" s="9">
        <f t="shared" si="0"/>
        <v>3</v>
      </c>
      <c r="I33" s="7" t="s">
        <v>762</v>
      </c>
      <c r="J33" s="10" t="str">
        <f t="shared" si="3"/>
        <v>Periode 1</v>
      </c>
      <c r="K33" s="11" t="str">
        <f t="shared" si="1"/>
        <v>Berdasarkan Permendikdasmen Nomor 7 Tahun 2025 karena:
Pasal 32. Belum memiliki sertifikat Pelatihan BCKS</v>
      </c>
      <c r="L33" s="10" t="str">
        <f t="shared" si="2"/>
        <v>Aktif Periode 1</v>
      </c>
      <c r="M33" s="2"/>
      <c r="N33" s="2"/>
    </row>
    <row r="34" spans="1:14" ht="75" customHeight="1" x14ac:dyDescent="0.35">
      <c r="A34" s="4" t="s">
        <v>292</v>
      </c>
      <c r="B34" s="5" t="s">
        <v>44</v>
      </c>
      <c r="C34" s="6" t="s">
        <v>8</v>
      </c>
      <c r="D34" s="7" t="s">
        <v>10</v>
      </c>
      <c r="E34" s="8" t="s">
        <v>540</v>
      </c>
      <c r="F34" s="7" t="s">
        <v>757</v>
      </c>
      <c r="G34" s="9">
        <v>2023</v>
      </c>
      <c r="H34" s="9">
        <f t="shared" si="0"/>
        <v>3</v>
      </c>
      <c r="I34" s="7" t="s">
        <v>762</v>
      </c>
      <c r="J34" s="10" t="str">
        <f t="shared" si="3"/>
        <v>Periode 1</v>
      </c>
      <c r="K34" s="11" t="str">
        <f t="shared" si="1"/>
        <v>Aman Tanpa Masalah</v>
      </c>
      <c r="L34" s="10" t="str">
        <f t="shared" si="2"/>
        <v>Aktif Periode 1</v>
      </c>
      <c r="M34" s="2"/>
      <c r="N34" s="2"/>
    </row>
    <row r="35" spans="1:14" ht="75" customHeight="1" x14ac:dyDescent="0.35">
      <c r="A35" s="4" t="s">
        <v>293</v>
      </c>
      <c r="B35" s="5" t="s">
        <v>45</v>
      </c>
      <c r="C35" s="6" t="s">
        <v>8</v>
      </c>
      <c r="D35" s="7" t="s">
        <v>9</v>
      </c>
      <c r="E35" s="8" t="s">
        <v>541</v>
      </c>
      <c r="F35" s="7" t="s">
        <v>758</v>
      </c>
      <c r="G35" s="9">
        <v>2023</v>
      </c>
      <c r="H35" s="9">
        <f t="shared" si="0"/>
        <v>3</v>
      </c>
      <c r="I35" s="7" t="s">
        <v>762</v>
      </c>
      <c r="J35" s="10" t="str">
        <f t="shared" si="3"/>
        <v>Periode 1</v>
      </c>
      <c r="K35" s="11" t="str">
        <f t="shared" si="1"/>
        <v>Berdasarkan Permendikdasmen Nomor 7 Tahun 2025 karena:
Pasal 32. Belum memiliki sertifikat Pelatihan BCKS</v>
      </c>
      <c r="L35" s="10" t="str">
        <f t="shared" si="2"/>
        <v>Aktif Periode 1</v>
      </c>
      <c r="M35" s="2"/>
      <c r="N35" s="2"/>
    </row>
    <row r="36" spans="1:14" ht="75" customHeight="1" x14ac:dyDescent="0.35">
      <c r="A36" s="4" t="s">
        <v>294</v>
      </c>
      <c r="B36" s="5" t="s">
        <v>46</v>
      </c>
      <c r="C36" s="6" t="s">
        <v>8</v>
      </c>
      <c r="D36" s="7" t="s">
        <v>9</v>
      </c>
      <c r="E36" s="8" t="s">
        <v>542</v>
      </c>
      <c r="F36" s="7" t="s">
        <v>758</v>
      </c>
      <c r="G36" s="9">
        <v>2023</v>
      </c>
      <c r="H36" s="9">
        <f t="shared" si="0"/>
        <v>3</v>
      </c>
      <c r="I36" s="7" t="s">
        <v>762</v>
      </c>
      <c r="J36" s="10" t="str">
        <f t="shared" si="3"/>
        <v>Periode 1</v>
      </c>
      <c r="K36" s="11" t="str">
        <f t="shared" si="1"/>
        <v>Berdasarkan Permendikdasmen Nomor 7 Tahun 2025 karena:
Pasal 32. Belum memiliki sertifikat Pelatihan BCKS</v>
      </c>
      <c r="L36" s="10" t="str">
        <f t="shared" si="2"/>
        <v>Aktif Periode 1</v>
      </c>
      <c r="M36" s="2"/>
      <c r="N36" s="2"/>
    </row>
    <row r="37" spans="1:14" ht="75" customHeight="1" x14ac:dyDescent="0.35">
      <c r="A37" s="4" t="s">
        <v>295</v>
      </c>
      <c r="B37" s="5" t="s">
        <v>47</v>
      </c>
      <c r="C37" s="6" t="s">
        <v>8</v>
      </c>
      <c r="D37" s="7" t="s">
        <v>11</v>
      </c>
      <c r="E37" s="8" t="s">
        <v>543</v>
      </c>
      <c r="F37" s="7" t="s">
        <v>758</v>
      </c>
      <c r="G37" s="9">
        <v>2023</v>
      </c>
      <c r="H37" s="9">
        <f t="shared" si="0"/>
        <v>3</v>
      </c>
      <c r="I37" s="7" t="s">
        <v>762</v>
      </c>
      <c r="J37" s="10" t="str">
        <f t="shared" si="3"/>
        <v>Periode 1</v>
      </c>
      <c r="K37" s="11" t="str">
        <f t="shared" si="1"/>
        <v>Berdasarkan Permendikdasmen Nomor 7 Tahun 2025 karena:
Pasal 32. Belum memiliki sertifikat Pelatihan BCKS</v>
      </c>
      <c r="L37" s="10" t="str">
        <f t="shared" si="2"/>
        <v>Aktif Periode 1</v>
      </c>
      <c r="M37" s="2"/>
      <c r="N37" s="2"/>
    </row>
    <row r="38" spans="1:14" ht="75" customHeight="1" x14ac:dyDescent="0.35">
      <c r="A38" s="4" t="s">
        <v>296</v>
      </c>
      <c r="B38" s="5" t="s">
        <v>48</v>
      </c>
      <c r="C38" s="6" t="s">
        <v>8</v>
      </c>
      <c r="D38" s="7" t="s">
        <v>9</v>
      </c>
      <c r="E38" s="8" t="s">
        <v>544</v>
      </c>
      <c r="F38" s="7" t="s">
        <v>757</v>
      </c>
      <c r="G38" s="9">
        <v>2023</v>
      </c>
      <c r="H38" s="9">
        <f t="shared" si="0"/>
        <v>3</v>
      </c>
      <c r="I38" s="7" t="s">
        <v>762</v>
      </c>
      <c r="J38" s="10" t="str">
        <f t="shared" si="3"/>
        <v>Periode 1</v>
      </c>
      <c r="K38" s="11" t="str">
        <f t="shared" si="1"/>
        <v>Aman Tanpa Masalah</v>
      </c>
      <c r="L38" s="10" t="str">
        <f t="shared" si="2"/>
        <v>Aktif Periode 1</v>
      </c>
      <c r="M38" s="2"/>
      <c r="N38" s="2"/>
    </row>
    <row r="39" spans="1:14" ht="75" customHeight="1" x14ac:dyDescent="0.35">
      <c r="A39" s="4" t="s">
        <v>297</v>
      </c>
      <c r="B39" s="5" t="s">
        <v>49</v>
      </c>
      <c r="C39" s="6" t="s">
        <v>8</v>
      </c>
      <c r="D39" s="7" t="s">
        <v>9</v>
      </c>
      <c r="E39" s="8" t="s">
        <v>545</v>
      </c>
      <c r="F39" s="7" t="s">
        <v>758</v>
      </c>
      <c r="G39" s="9">
        <v>2023</v>
      </c>
      <c r="H39" s="9">
        <f t="shared" si="0"/>
        <v>3</v>
      </c>
      <c r="I39" s="7" t="s">
        <v>762</v>
      </c>
      <c r="J39" s="10" t="str">
        <f t="shared" si="3"/>
        <v>Periode 1</v>
      </c>
      <c r="K39" s="11" t="str">
        <f t="shared" si="1"/>
        <v>Berdasarkan Permendikdasmen Nomor 7 Tahun 2025 karena:
Pasal 32. Belum memiliki sertifikat Pelatihan BCKS</v>
      </c>
      <c r="L39" s="10" t="str">
        <f t="shared" si="2"/>
        <v>Aktif Periode 1</v>
      </c>
      <c r="M39" s="2"/>
      <c r="N39" s="2"/>
    </row>
    <row r="40" spans="1:14" ht="75" customHeight="1" x14ac:dyDescent="0.35">
      <c r="A40" s="4" t="s">
        <v>298</v>
      </c>
      <c r="B40" s="5" t="s">
        <v>50</v>
      </c>
      <c r="C40" s="6" t="s">
        <v>8</v>
      </c>
      <c r="D40" s="7" t="s">
        <v>10</v>
      </c>
      <c r="E40" s="8" t="s">
        <v>546</v>
      </c>
      <c r="F40" s="7" t="s">
        <v>758</v>
      </c>
      <c r="G40" s="9">
        <v>2023</v>
      </c>
      <c r="H40" s="9">
        <f t="shared" si="0"/>
        <v>3</v>
      </c>
      <c r="I40" s="7" t="s">
        <v>762</v>
      </c>
      <c r="J40" s="10" t="str">
        <f t="shared" si="3"/>
        <v>Periode 1</v>
      </c>
      <c r="K40" s="11" t="str">
        <f t="shared" si="1"/>
        <v>Berdasarkan Permendikdasmen Nomor 7 Tahun 2025 karena:
Pasal 32. Belum memiliki sertifikat Pelatihan BCKS</v>
      </c>
      <c r="L40" s="10" t="str">
        <f t="shared" si="2"/>
        <v>Aktif Periode 1</v>
      </c>
      <c r="M40" s="2"/>
      <c r="N40" s="2"/>
    </row>
    <row r="41" spans="1:14" ht="75" customHeight="1" x14ac:dyDescent="0.35">
      <c r="A41" s="4" t="s">
        <v>299</v>
      </c>
      <c r="B41" s="5" t="s">
        <v>51</v>
      </c>
      <c r="C41" s="6" t="s">
        <v>8</v>
      </c>
      <c r="D41" s="7" t="s">
        <v>9</v>
      </c>
      <c r="E41" s="8" t="s">
        <v>547</v>
      </c>
      <c r="F41" s="7" t="s">
        <v>758</v>
      </c>
      <c r="G41" s="9">
        <v>2026</v>
      </c>
      <c r="H41" s="9">
        <f t="shared" si="0"/>
        <v>0</v>
      </c>
      <c r="I41" s="7" t="s">
        <v>762</v>
      </c>
      <c r="J41" s="10" t="str">
        <f t="shared" si="3"/>
        <v>Periode 1</v>
      </c>
      <c r="K41" s="11" t="str">
        <f t="shared" si="1"/>
        <v>Berdasarkan Permendikdasmen Nomor 7 Tahun 2025 karena:
Pasal 32. Belum memiliki sertifikat Pelatihan BCKS</v>
      </c>
      <c r="L41" s="10" t="str">
        <f t="shared" si="2"/>
        <v>Aktif Periode 1</v>
      </c>
      <c r="M41" s="2"/>
      <c r="N41" s="2"/>
    </row>
    <row r="42" spans="1:14" ht="75" customHeight="1" x14ac:dyDescent="0.35">
      <c r="A42" s="4" t="s">
        <v>300</v>
      </c>
      <c r="B42" s="5" t="s">
        <v>52</v>
      </c>
      <c r="C42" s="6" t="s">
        <v>8</v>
      </c>
      <c r="D42" s="7" t="s">
        <v>9</v>
      </c>
      <c r="E42" s="8" t="s">
        <v>548</v>
      </c>
      <c r="F42" s="7" t="s">
        <v>757</v>
      </c>
      <c r="G42" s="9">
        <v>2026</v>
      </c>
      <c r="H42" s="9">
        <f t="shared" si="0"/>
        <v>0</v>
      </c>
      <c r="I42" s="7" t="s">
        <v>762</v>
      </c>
      <c r="J42" s="10" t="str">
        <f t="shared" si="3"/>
        <v>Periode 1</v>
      </c>
      <c r="K42" s="11" t="str">
        <f t="shared" si="1"/>
        <v>Aman Tanpa Masalah</v>
      </c>
      <c r="L42" s="10" t="str">
        <f t="shared" si="2"/>
        <v>Aktif Periode 1</v>
      </c>
      <c r="M42" s="2"/>
      <c r="N42" s="2"/>
    </row>
    <row r="43" spans="1:14" ht="75" customHeight="1" x14ac:dyDescent="0.35">
      <c r="A43" s="4" t="s">
        <v>301</v>
      </c>
      <c r="B43" s="5" t="s">
        <v>53</v>
      </c>
      <c r="C43" s="6" t="s">
        <v>8</v>
      </c>
      <c r="D43" s="7" t="s">
        <v>10</v>
      </c>
      <c r="E43" s="8" t="s">
        <v>549</v>
      </c>
      <c r="F43" s="7" t="s">
        <v>757</v>
      </c>
      <c r="G43" s="9">
        <v>2026</v>
      </c>
      <c r="H43" s="9">
        <f t="shared" si="0"/>
        <v>0</v>
      </c>
      <c r="I43" s="7" t="s">
        <v>762</v>
      </c>
      <c r="J43" s="10" t="str">
        <f t="shared" si="3"/>
        <v>Periode 1</v>
      </c>
      <c r="K43" s="11" t="str">
        <f t="shared" si="1"/>
        <v>Aman Tanpa Masalah</v>
      </c>
      <c r="L43" s="10" t="str">
        <f t="shared" si="2"/>
        <v>Aktif Periode 1</v>
      </c>
      <c r="M43" s="2"/>
      <c r="N43" s="2"/>
    </row>
    <row r="44" spans="1:14" ht="75" customHeight="1" x14ac:dyDescent="0.35">
      <c r="A44" s="4" t="s">
        <v>302</v>
      </c>
      <c r="B44" s="5" t="s">
        <v>54</v>
      </c>
      <c r="C44" s="6" t="s">
        <v>8</v>
      </c>
      <c r="D44" s="7" t="s">
        <v>9</v>
      </c>
      <c r="E44" s="8" t="s">
        <v>550</v>
      </c>
      <c r="F44" s="7" t="s">
        <v>757</v>
      </c>
      <c r="G44" s="9">
        <v>2026</v>
      </c>
      <c r="H44" s="9">
        <f t="shared" si="0"/>
        <v>0</v>
      </c>
      <c r="I44" s="7" t="s">
        <v>762</v>
      </c>
      <c r="J44" s="10" t="str">
        <f t="shared" si="3"/>
        <v>Periode 1</v>
      </c>
      <c r="K44" s="11" t="str">
        <f t="shared" si="1"/>
        <v>Aman Tanpa Masalah</v>
      </c>
      <c r="L44" s="10" t="str">
        <f t="shared" si="2"/>
        <v>Aktif Periode 1</v>
      </c>
      <c r="M44" s="2"/>
      <c r="N44" s="2"/>
    </row>
    <row r="45" spans="1:14" ht="75" customHeight="1" x14ac:dyDescent="0.35">
      <c r="A45" s="4" t="s">
        <v>303</v>
      </c>
      <c r="B45" s="5" t="s">
        <v>55</v>
      </c>
      <c r="C45" s="6" t="s">
        <v>8</v>
      </c>
      <c r="D45" s="7" t="s">
        <v>9</v>
      </c>
      <c r="E45" s="8" t="s">
        <v>551</v>
      </c>
      <c r="F45" s="7" t="s">
        <v>758</v>
      </c>
      <c r="G45" s="9">
        <v>2026</v>
      </c>
      <c r="H45" s="9">
        <f t="shared" si="0"/>
        <v>0</v>
      </c>
      <c r="I45" s="7" t="s">
        <v>762</v>
      </c>
      <c r="J45" s="10" t="str">
        <f t="shared" si="3"/>
        <v>Periode 1</v>
      </c>
      <c r="K45" s="11" t="str">
        <f t="shared" si="1"/>
        <v>Berdasarkan Permendikdasmen Nomor 7 Tahun 2025 karena:
Pasal 32. Belum memiliki sertifikat Pelatihan BCKS</v>
      </c>
      <c r="L45" s="10" t="str">
        <f t="shared" si="2"/>
        <v>Aktif Periode 1</v>
      </c>
      <c r="M45" s="2"/>
      <c r="N45" s="2"/>
    </row>
    <row r="46" spans="1:14" ht="75" customHeight="1" x14ac:dyDescent="0.35">
      <c r="A46" s="4" t="s">
        <v>304</v>
      </c>
      <c r="B46" s="5" t="s">
        <v>56</v>
      </c>
      <c r="C46" s="6" t="s">
        <v>8</v>
      </c>
      <c r="D46" s="7" t="s">
        <v>9</v>
      </c>
      <c r="E46" s="8" t="s">
        <v>552</v>
      </c>
      <c r="F46" s="7" t="s">
        <v>757</v>
      </c>
      <c r="G46" s="9">
        <v>2017</v>
      </c>
      <c r="H46" s="9">
        <f t="shared" si="0"/>
        <v>9</v>
      </c>
      <c r="I46" s="7" t="s">
        <v>762</v>
      </c>
      <c r="J46" s="10" t="str">
        <f t="shared" si="3"/>
        <v>Lebih dari 2 Periode</v>
      </c>
      <c r="K46" s="11" t="str">
        <f t="shared" si="1"/>
        <v>Berdasarkan Permendikdasmen Nomor 7 Tahun 2025 karena:
Pasal 31. Telah melewati batas periode penugasan</v>
      </c>
      <c r="L46" s="10" t="str">
        <f t="shared" si="2"/>
        <v>Harus Diberhentikan</v>
      </c>
      <c r="M46" s="2"/>
      <c r="N46" s="2"/>
    </row>
    <row r="47" spans="1:14" ht="75" customHeight="1" x14ac:dyDescent="0.35">
      <c r="A47" s="4" t="s">
        <v>305</v>
      </c>
      <c r="B47" s="5" t="s">
        <v>57</v>
      </c>
      <c r="C47" s="6" t="s">
        <v>8</v>
      </c>
      <c r="D47" s="7" t="s">
        <v>9</v>
      </c>
      <c r="E47" s="8" t="s">
        <v>553</v>
      </c>
      <c r="F47" s="7" t="s">
        <v>758</v>
      </c>
      <c r="G47" s="9">
        <v>2017</v>
      </c>
      <c r="H47" s="9">
        <f t="shared" si="0"/>
        <v>9</v>
      </c>
      <c r="I47" s="7" t="s">
        <v>762</v>
      </c>
      <c r="J47" s="10" t="str">
        <f t="shared" si="3"/>
        <v>Lebih dari 2 Periode</v>
      </c>
      <c r="K47" s="11" t="str">
        <f t="shared" si="1"/>
        <v>Berdasarkan Permendikdasmen Nomor 7 Tahun 2025 karena:
Pasal 31. Telah melewati batas periode penugasan
Pasal 32. Belum memiliki sertifikat Pelatihan BCKS</v>
      </c>
      <c r="L47" s="10" t="str">
        <f t="shared" si="2"/>
        <v>Harus Diberhentikan</v>
      </c>
      <c r="M47" s="2"/>
      <c r="N47" s="2"/>
    </row>
    <row r="48" spans="1:14" ht="75" customHeight="1" x14ac:dyDescent="0.35">
      <c r="A48" s="4" t="s">
        <v>306</v>
      </c>
      <c r="B48" s="5" t="s">
        <v>58</v>
      </c>
      <c r="C48" s="6" t="s">
        <v>8</v>
      </c>
      <c r="D48" s="7" t="s">
        <v>10</v>
      </c>
      <c r="E48" s="8" t="s">
        <v>554</v>
      </c>
      <c r="F48" s="7" t="s">
        <v>758</v>
      </c>
      <c r="G48" s="9">
        <v>2017</v>
      </c>
      <c r="H48" s="9">
        <f t="shared" si="0"/>
        <v>9</v>
      </c>
      <c r="I48" s="7" t="s">
        <v>762</v>
      </c>
      <c r="J48" s="10" t="str">
        <f t="shared" si="3"/>
        <v>Lebih dari 2 Periode</v>
      </c>
      <c r="K48" s="11" t="str">
        <f t="shared" si="1"/>
        <v>Berdasarkan Permendikdasmen Nomor 7 Tahun 2025 karena:
Pasal 31. Telah melewati batas periode penugasan
Pasal 32. Belum memiliki sertifikat Pelatihan BCKS</v>
      </c>
      <c r="L48" s="10" t="str">
        <f t="shared" si="2"/>
        <v>Harus Diberhentikan</v>
      </c>
      <c r="M48" s="2"/>
      <c r="N48" s="2"/>
    </row>
    <row r="49" spans="1:14" ht="75" customHeight="1" x14ac:dyDescent="0.35">
      <c r="A49" s="4" t="s">
        <v>307</v>
      </c>
      <c r="B49" s="5" t="s">
        <v>59</v>
      </c>
      <c r="C49" s="6" t="s">
        <v>8</v>
      </c>
      <c r="D49" s="7" t="s">
        <v>10</v>
      </c>
      <c r="E49" s="8" t="s">
        <v>555</v>
      </c>
      <c r="F49" s="7" t="s">
        <v>758</v>
      </c>
      <c r="G49" s="9">
        <v>2017</v>
      </c>
      <c r="H49" s="9">
        <f t="shared" si="0"/>
        <v>9</v>
      </c>
      <c r="I49" s="7" t="s">
        <v>762</v>
      </c>
      <c r="J49" s="10" t="str">
        <f t="shared" si="3"/>
        <v>Lebih dari 2 Periode</v>
      </c>
      <c r="K49" s="11" t="str">
        <f t="shared" si="1"/>
        <v>Berdasarkan Permendikdasmen Nomor 7 Tahun 2025 karena:
Pasal 31. Telah melewati batas periode penugasan
Pasal 32. Belum memiliki sertifikat Pelatihan BCKS</v>
      </c>
      <c r="L49" s="10" t="str">
        <f t="shared" si="2"/>
        <v>Harus Diberhentikan</v>
      </c>
      <c r="M49" s="2"/>
      <c r="N49" s="2"/>
    </row>
    <row r="50" spans="1:14" ht="75" customHeight="1" x14ac:dyDescent="0.35">
      <c r="A50" s="4" t="s">
        <v>308</v>
      </c>
      <c r="B50" s="5" t="s">
        <v>60</v>
      </c>
      <c r="C50" s="6" t="s">
        <v>8</v>
      </c>
      <c r="D50" s="7" t="s">
        <v>9</v>
      </c>
      <c r="E50" s="8" t="s">
        <v>556</v>
      </c>
      <c r="F50" s="7" t="s">
        <v>757</v>
      </c>
      <c r="G50" s="9">
        <v>2017</v>
      </c>
      <c r="H50" s="9">
        <f t="shared" si="0"/>
        <v>9</v>
      </c>
      <c r="I50" s="7" t="s">
        <v>762</v>
      </c>
      <c r="J50" s="10" t="str">
        <f t="shared" si="3"/>
        <v>Lebih dari 2 Periode</v>
      </c>
      <c r="K50" s="11" t="str">
        <f t="shared" si="1"/>
        <v>Berdasarkan Permendikdasmen Nomor 7 Tahun 2025 karena:
Pasal 31. Telah melewati batas periode penugasan</v>
      </c>
      <c r="L50" s="10" t="str">
        <f t="shared" si="2"/>
        <v>Harus Diberhentikan</v>
      </c>
      <c r="M50" s="2"/>
      <c r="N50" s="2"/>
    </row>
    <row r="51" spans="1:14" ht="75" customHeight="1" x14ac:dyDescent="0.35">
      <c r="A51" s="4" t="s">
        <v>309</v>
      </c>
      <c r="B51" s="5" t="s">
        <v>61</v>
      </c>
      <c r="C51" s="6" t="s">
        <v>8</v>
      </c>
      <c r="D51" s="7" t="s">
        <v>9</v>
      </c>
      <c r="E51" s="8" t="s">
        <v>557</v>
      </c>
      <c r="F51" s="7" t="s">
        <v>757</v>
      </c>
      <c r="G51" s="9">
        <v>2017</v>
      </c>
      <c r="H51" s="9">
        <f t="shared" si="0"/>
        <v>9</v>
      </c>
      <c r="I51" s="7" t="s">
        <v>762</v>
      </c>
      <c r="J51" s="10" t="str">
        <f t="shared" si="3"/>
        <v>Lebih dari 2 Periode</v>
      </c>
      <c r="K51" s="11" t="str">
        <f t="shared" si="1"/>
        <v>Berdasarkan Permendikdasmen Nomor 7 Tahun 2025 karena:
Pasal 31. Telah melewati batas periode penugasan</v>
      </c>
      <c r="L51" s="10" t="str">
        <f t="shared" si="2"/>
        <v>Harus Diberhentikan</v>
      </c>
      <c r="M51" s="2"/>
      <c r="N51" s="2"/>
    </row>
    <row r="52" spans="1:14" ht="75" customHeight="1" x14ac:dyDescent="0.35">
      <c r="A52" s="4" t="s">
        <v>310</v>
      </c>
      <c r="B52" s="5" t="s">
        <v>62</v>
      </c>
      <c r="C52" s="6" t="s">
        <v>8</v>
      </c>
      <c r="D52" s="7" t="s">
        <v>10</v>
      </c>
      <c r="E52" s="8" t="s">
        <v>558</v>
      </c>
      <c r="F52" s="7" t="s">
        <v>757</v>
      </c>
      <c r="G52" s="9">
        <v>2026</v>
      </c>
      <c r="H52" s="9">
        <f t="shared" si="0"/>
        <v>0</v>
      </c>
      <c r="I52" s="7" t="s">
        <v>762</v>
      </c>
      <c r="J52" s="10" t="str">
        <f t="shared" si="3"/>
        <v>Periode 1</v>
      </c>
      <c r="K52" s="11" t="str">
        <f t="shared" si="1"/>
        <v>Aman Tanpa Masalah</v>
      </c>
      <c r="L52" s="10" t="str">
        <f t="shared" si="2"/>
        <v>Aktif Periode 1</v>
      </c>
      <c r="M52" s="2"/>
      <c r="N52" s="2"/>
    </row>
    <row r="53" spans="1:14" ht="75" customHeight="1" x14ac:dyDescent="0.35">
      <c r="A53" s="4" t="s">
        <v>311</v>
      </c>
      <c r="B53" s="5" t="s">
        <v>63</v>
      </c>
      <c r="C53" s="6" t="s">
        <v>8</v>
      </c>
      <c r="D53" s="7" t="s">
        <v>9</v>
      </c>
      <c r="E53" s="8" t="s">
        <v>559</v>
      </c>
      <c r="F53" s="7" t="s">
        <v>757</v>
      </c>
      <c r="G53" s="9">
        <v>2026</v>
      </c>
      <c r="H53" s="9">
        <f t="shared" si="0"/>
        <v>0</v>
      </c>
      <c r="I53" s="7" t="s">
        <v>762</v>
      </c>
      <c r="J53" s="10" t="str">
        <f t="shared" si="3"/>
        <v>Periode 1</v>
      </c>
      <c r="K53" s="11" t="str">
        <f t="shared" si="1"/>
        <v>Aman Tanpa Masalah</v>
      </c>
      <c r="L53" s="10" t="str">
        <f t="shared" si="2"/>
        <v>Aktif Periode 1</v>
      </c>
      <c r="M53" s="2"/>
      <c r="N53" s="2"/>
    </row>
    <row r="54" spans="1:14" ht="75" customHeight="1" x14ac:dyDescent="0.35">
      <c r="A54" s="4" t="s">
        <v>312</v>
      </c>
      <c r="B54" s="5" t="s">
        <v>64</v>
      </c>
      <c r="C54" s="6" t="s">
        <v>8</v>
      </c>
      <c r="D54" s="7" t="s">
        <v>9</v>
      </c>
      <c r="E54" s="8" t="s">
        <v>560</v>
      </c>
      <c r="F54" s="7" t="s">
        <v>758</v>
      </c>
      <c r="G54" s="9">
        <v>2026</v>
      </c>
      <c r="H54" s="9">
        <f t="shared" si="0"/>
        <v>0</v>
      </c>
      <c r="I54" s="7" t="s">
        <v>762</v>
      </c>
      <c r="J54" s="10" t="str">
        <f t="shared" si="3"/>
        <v>Periode 1</v>
      </c>
      <c r="K54" s="11" t="str">
        <f t="shared" si="1"/>
        <v>Berdasarkan Permendikdasmen Nomor 7 Tahun 2025 karena:
Pasal 32. Belum memiliki sertifikat Pelatihan BCKS</v>
      </c>
      <c r="L54" s="10" t="str">
        <f t="shared" si="2"/>
        <v>Aktif Periode 1</v>
      </c>
      <c r="M54" s="2"/>
      <c r="N54" s="2"/>
    </row>
    <row r="55" spans="1:14" ht="75" customHeight="1" x14ac:dyDescent="0.35">
      <c r="A55" s="4" t="s">
        <v>313</v>
      </c>
      <c r="B55" s="5" t="s">
        <v>65</v>
      </c>
      <c r="C55" s="6" t="s">
        <v>8</v>
      </c>
      <c r="D55" s="7" t="s">
        <v>9</v>
      </c>
      <c r="E55" s="8" t="s">
        <v>561</v>
      </c>
      <c r="F55" s="7" t="s">
        <v>758</v>
      </c>
      <c r="G55" s="9">
        <v>2026</v>
      </c>
      <c r="H55" s="9">
        <f t="shared" si="0"/>
        <v>0</v>
      </c>
      <c r="I55" s="7" t="s">
        <v>762</v>
      </c>
      <c r="J55" s="10" t="str">
        <f t="shared" si="3"/>
        <v>Periode 1</v>
      </c>
      <c r="K55" s="11" t="str">
        <f t="shared" si="1"/>
        <v>Berdasarkan Permendikdasmen Nomor 7 Tahun 2025 karena:
Pasal 32. Belum memiliki sertifikat Pelatihan BCKS</v>
      </c>
      <c r="L55" s="10" t="str">
        <f t="shared" si="2"/>
        <v>Aktif Periode 1</v>
      </c>
      <c r="M55" s="2"/>
      <c r="N55" s="2"/>
    </row>
    <row r="56" spans="1:14" ht="75" customHeight="1" x14ac:dyDescent="0.35">
      <c r="A56" s="4" t="s">
        <v>314</v>
      </c>
      <c r="B56" s="5" t="s">
        <v>66</v>
      </c>
      <c r="C56" s="6" t="s">
        <v>8</v>
      </c>
      <c r="D56" s="7" t="s">
        <v>9</v>
      </c>
      <c r="E56" s="8" t="s">
        <v>562</v>
      </c>
      <c r="F56" s="7" t="s">
        <v>758</v>
      </c>
      <c r="G56" s="9">
        <v>2026</v>
      </c>
      <c r="H56" s="9">
        <f t="shared" si="0"/>
        <v>0</v>
      </c>
      <c r="I56" s="7" t="s">
        <v>762</v>
      </c>
      <c r="J56" s="10" t="str">
        <f t="shared" si="3"/>
        <v>Periode 1</v>
      </c>
      <c r="K56" s="11" t="str">
        <f t="shared" si="1"/>
        <v>Berdasarkan Permendikdasmen Nomor 7 Tahun 2025 karena:
Pasal 32. Belum memiliki sertifikat Pelatihan BCKS</v>
      </c>
      <c r="L56" s="10" t="str">
        <f t="shared" si="2"/>
        <v>Aktif Periode 1</v>
      </c>
      <c r="M56" s="2"/>
      <c r="N56" s="2"/>
    </row>
    <row r="57" spans="1:14" ht="75" customHeight="1" x14ac:dyDescent="0.35">
      <c r="A57" s="4" t="s">
        <v>315</v>
      </c>
      <c r="B57" s="5" t="s">
        <v>67</v>
      </c>
      <c r="C57" s="6" t="s">
        <v>8</v>
      </c>
      <c r="D57" s="7" t="s">
        <v>10</v>
      </c>
      <c r="E57" s="8" t="s">
        <v>563</v>
      </c>
      <c r="F57" s="7" t="s">
        <v>757</v>
      </c>
      <c r="G57" s="9">
        <v>2026</v>
      </c>
      <c r="H57" s="9">
        <f t="shared" si="0"/>
        <v>0</v>
      </c>
      <c r="I57" s="7" t="s">
        <v>762</v>
      </c>
      <c r="J57" s="10" t="str">
        <f t="shared" si="3"/>
        <v>Periode 1</v>
      </c>
      <c r="K57" s="11" t="str">
        <f t="shared" si="1"/>
        <v>Aman Tanpa Masalah</v>
      </c>
      <c r="L57" s="10" t="str">
        <f t="shared" si="2"/>
        <v>Aktif Periode 1</v>
      </c>
      <c r="M57" s="2"/>
      <c r="N57" s="2"/>
    </row>
    <row r="58" spans="1:14" ht="75" customHeight="1" x14ac:dyDescent="0.35">
      <c r="A58" s="4" t="s">
        <v>316</v>
      </c>
      <c r="B58" s="5" t="s">
        <v>68</v>
      </c>
      <c r="C58" s="6" t="s">
        <v>8</v>
      </c>
      <c r="D58" s="7" t="s">
        <v>9</v>
      </c>
      <c r="E58" s="8" t="s">
        <v>564</v>
      </c>
      <c r="F58" s="7" t="s">
        <v>758</v>
      </c>
      <c r="G58" s="9">
        <v>2026</v>
      </c>
      <c r="H58" s="9">
        <f t="shared" si="0"/>
        <v>0</v>
      </c>
      <c r="I58" s="7" t="s">
        <v>762</v>
      </c>
      <c r="J58" s="10" t="str">
        <f t="shared" si="3"/>
        <v>Periode 1</v>
      </c>
      <c r="K58" s="11" t="str">
        <f t="shared" si="1"/>
        <v>Berdasarkan Permendikdasmen Nomor 7 Tahun 2025 karena:
Pasal 32. Belum memiliki sertifikat Pelatihan BCKS</v>
      </c>
      <c r="L58" s="10" t="str">
        <f t="shared" si="2"/>
        <v>Aktif Periode 1</v>
      </c>
      <c r="M58" s="2"/>
      <c r="N58" s="2"/>
    </row>
    <row r="59" spans="1:14" ht="75" customHeight="1" x14ac:dyDescent="0.35">
      <c r="A59" s="4" t="s">
        <v>317</v>
      </c>
      <c r="B59" s="5" t="s">
        <v>69</v>
      </c>
      <c r="C59" s="6" t="s">
        <v>8</v>
      </c>
      <c r="D59" s="7" t="s">
        <v>9</v>
      </c>
      <c r="E59" s="8" t="s">
        <v>565</v>
      </c>
      <c r="F59" s="7" t="s">
        <v>758</v>
      </c>
      <c r="G59" s="9">
        <v>2026</v>
      </c>
      <c r="H59" s="9">
        <f t="shared" si="0"/>
        <v>0</v>
      </c>
      <c r="I59" s="7" t="s">
        <v>762</v>
      </c>
      <c r="J59" s="10" t="str">
        <f t="shared" si="3"/>
        <v>Periode 1</v>
      </c>
      <c r="K59" s="11" t="str">
        <f t="shared" si="1"/>
        <v>Berdasarkan Permendikdasmen Nomor 7 Tahun 2025 karena:
Pasal 32. Belum memiliki sertifikat Pelatihan BCKS</v>
      </c>
      <c r="L59" s="10" t="str">
        <f t="shared" si="2"/>
        <v>Aktif Periode 1</v>
      </c>
      <c r="M59" s="2"/>
      <c r="N59" s="2"/>
    </row>
    <row r="60" spans="1:14" ht="75" customHeight="1" x14ac:dyDescent="0.35">
      <c r="A60" s="4" t="s">
        <v>318</v>
      </c>
      <c r="B60" s="5" t="s">
        <v>70</v>
      </c>
      <c r="C60" s="6" t="s">
        <v>8</v>
      </c>
      <c r="D60" s="7" t="s">
        <v>9</v>
      </c>
      <c r="E60" s="8" t="s">
        <v>566</v>
      </c>
      <c r="F60" s="7" t="s">
        <v>758</v>
      </c>
      <c r="G60" s="9">
        <v>2026</v>
      </c>
      <c r="H60" s="9">
        <f t="shared" si="0"/>
        <v>0</v>
      </c>
      <c r="I60" s="7" t="s">
        <v>762</v>
      </c>
      <c r="J60" s="10" t="str">
        <f t="shared" si="3"/>
        <v>Periode 1</v>
      </c>
      <c r="K60" s="11" t="str">
        <f t="shared" si="1"/>
        <v>Berdasarkan Permendikdasmen Nomor 7 Tahun 2025 karena:
Pasal 32. Belum memiliki sertifikat Pelatihan BCKS</v>
      </c>
      <c r="L60" s="10" t="str">
        <f t="shared" si="2"/>
        <v>Aktif Periode 1</v>
      </c>
      <c r="M60" s="2"/>
      <c r="N60" s="2"/>
    </row>
    <row r="61" spans="1:14" ht="75" customHeight="1" x14ac:dyDescent="0.35">
      <c r="A61" s="4" t="s">
        <v>319</v>
      </c>
      <c r="B61" s="5" t="s">
        <v>71</v>
      </c>
      <c r="C61" s="6" t="s">
        <v>8</v>
      </c>
      <c r="D61" s="7" t="s">
        <v>9</v>
      </c>
      <c r="E61" s="8" t="s">
        <v>567</v>
      </c>
      <c r="F61" s="7" t="s">
        <v>758</v>
      </c>
      <c r="G61" s="9">
        <v>2026</v>
      </c>
      <c r="H61" s="9">
        <f t="shared" si="0"/>
        <v>0</v>
      </c>
      <c r="I61" s="7" t="s">
        <v>762</v>
      </c>
      <c r="J61" s="10" t="str">
        <f t="shared" si="3"/>
        <v>Periode 1</v>
      </c>
      <c r="K61" s="11" t="str">
        <f t="shared" si="1"/>
        <v>Berdasarkan Permendikdasmen Nomor 7 Tahun 2025 karena:
Pasal 32. Belum memiliki sertifikat Pelatihan BCKS</v>
      </c>
      <c r="L61" s="10" t="str">
        <f t="shared" si="2"/>
        <v>Aktif Periode 1</v>
      </c>
      <c r="M61" s="2"/>
      <c r="N61" s="2"/>
    </row>
    <row r="62" spans="1:14" ht="75" customHeight="1" x14ac:dyDescent="0.35">
      <c r="A62" s="4" t="s">
        <v>320</v>
      </c>
      <c r="B62" s="5" t="s">
        <v>72</v>
      </c>
      <c r="C62" s="6" t="s">
        <v>8</v>
      </c>
      <c r="D62" s="7" t="s">
        <v>9</v>
      </c>
      <c r="E62" s="8" t="s">
        <v>568</v>
      </c>
      <c r="F62" s="7" t="s">
        <v>757</v>
      </c>
      <c r="G62" s="9">
        <v>2026</v>
      </c>
      <c r="H62" s="9">
        <f t="shared" si="0"/>
        <v>0</v>
      </c>
      <c r="I62" s="7" t="s">
        <v>762</v>
      </c>
      <c r="J62" s="10" t="str">
        <f t="shared" si="3"/>
        <v>Periode 1</v>
      </c>
      <c r="K62" s="11" t="str">
        <f t="shared" si="1"/>
        <v>Aman Tanpa Masalah</v>
      </c>
      <c r="L62" s="10" t="str">
        <f t="shared" si="2"/>
        <v>Aktif Periode 1</v>
      </c>
      <c r="M62" s="2"/>
      <c r="N62" s="2"/>
    </row>
    <row r="63" spans="1:14" ht="75" customHeight="1" x14ac:dyDescent="0.35">
      <c r="A63" s="4" t="s">
        <v>321</v>
      </c>
      <c r="B63" s="5" t="s">
        <v>73</v>
      </c>
      <c r="C63" s="6" t="s">
        <v>8</v>
      </c>
      <c r="D63" s="7" t="s">
        <v>9</v>
      </c>
      <c r="E63" s="8" t="s">
        <v>569</v>
      </c>
      <c r="F63" s="7" t="s">
        <v>757</v>
      </c>
      <c r="G63" s="9">
        <v>2025</v>
      </c>
      <c r="H63" s="9">
        <f t="shared" si="0"/>
        <v>1</v>
      </c>
      <c r="I63" s="7" t="s">
        <v>762</v>
      </c>
      <c r="J63" s="10" t="str">
        <f t="shared" si="3"/>
        <v>Periode 1</v>
      </c>
      <c r="K63" s="11" t="str">
        <f t="shared" si="1"/>
        <v>Aman Tanpa Masalah</v>
      </c>
      <c r="L63" s="10" t="str">
        <f t="shared" si="2"/>
        <v>Aktif Periode 1</v>
      </c>
      <c r="M63" s="2"/>
      <c r="N63" s="2"/>
    </row>
    <row r="64" spans="1:14" ht="75" customHeight="1" x14ac:dyDescent="0.35">
      <c r="A64" s="4" t="s">
        <v>322</v>
      </c>
      <c r="B64" s="5" t="s">
        <v>74</v>
      </c>
      <c r="C64" s="6" t="s">
        <v>8</v>
      </c>
      <c r="D64" s="7" t="s">
        <v>9</v>
      </c>
      <c r="E64" s="8" t="s">
        <v>570</v>
      </c>
      <c r="F64" s="7" t="s">
        <v>758</v>
      </c>
      <c r="G64" s="9">
        <v>2025</v>
      </c>
      <c r="H64" s="9">
        <f t="shared" si="0"/>
        <v>1</v>
      </c>
      <c r="I64" s="7" t="s">
        <v>762</v>
      </c>
      <c r="J64" s="10" t="str">
        <f t="shared" si="3"/>
        <v>Periode 1</v>
      </c>
      <c r="K64" s="11" t="str">
        <f t="shared" si="1"/>
        <v>Berdasarkan Permendikdasmen Nomor 7 Tahun 2025 karena:
Pasal 32. Belum memiliki sertifikat Pelatihan BCKS</v>
      </c>
      <c r="L64" s="10" t="str">
        <f t="shared" si="2"/>
        <v>Aktif Periode 1</v>
      </c>
      <c r="M64" s="2"/>
      <c r="N64" s="2"/>
    </row>
    <row r="65" spans="1:14" ht="75" customHeight="1" x14ac:dyDescent="0.35">
      <c r="A65" s="4" t="s">
        <v>323</v>
      </c>
      <c r="B65" s="5" t="s">
        <v>75</v>
      </c>
      <c r="C65" s="6" t="s">
        <v>8</v>
      </c>
      <c r="D65" s="7" t="s">
        <v>9</v>
      </c>
      <c r="E65" s="8" t="s">
        <v>571</v>
      </c>
      <c r="F65" s="7" t="s">
        <v>758</v>
      </c>
      <c r="G65" s="9">
        <v>2025</v>
      </c>
      <c r="H65" s="9">
        <f t="shared" si="0"/>
        <v>1</v>
      </c>
      <c r="I65" s="7" t="s">
        <v>762</v>
      </c>
      <c r="J65" s="10" t="str">
        <f t="shared" si="3"/>
        <v>Periode 1</v>
      </c>
      <c r="K65" s="11" t="str">
        <f t="shared" si="1"/>
        <v>Berdasarkan Permendikdasmen Nomor 7 Tahun 2025 karena:
Pasal 32. Belum memiliki sertifikat Pelatihan BCKS</v>
      </c>
      <c r="L65" s="10" t="str">
        <f t="shared" si="2"/>
        <v>Aktif Periode 1</v>
      </c>
      <c r="M65" s="2"/>
      <c r="N65" s="2"/>
    </row>
    <row r="66" spans="1:14" ht="75" customHeight="1" x14ac:dyDescent="0.35">
      <c r="A66" s="4" t="s">
        <v>324</v>
      </c>
      <c r="B66" s="5" t="s">
        <v>76</v>
      </c>
      <c r="C66" s="6" t="s">
        <v>8</v>
      </c>
      <c r="D66" s="7" t="s">
        <v>11</v>
      </c>
      <c r="E66" s="8" t="s">
        <v>572</v>
      </c>
      <c r="F66" s="7" t="s">
        <v>758</v>
      </c>
      <c r="G66" s="9">
        <v>2025</v>
      </c>
      <c r="H66" s="9">
        <f t="shared" ref="H66:H129" si="4">2026-G66</f>
        <v>1</v>
      </c>
      <c r="I66" s="7" t="s">
        <v>762</v>
      </c>
      <c r="J66" s="10" t="str">
        <f t="shared" si="3"/>
        <v>Periode 1</v>
      </c>
      <c r="K66" s="11" t="str">
        <f t="shared" si="1"/>
        <v>Berdasarkan Permendikdasmen Nomor 7 Tahun 2025 karena:
Pasal 32. Belum memiliki sertifikat Pelatihan BCKS</v>
      </c>
      <c r="L66" s="10" t="str">
        <f t="shared" si="2"/>
        <v>Aktif Periode 1</v>
      </c>
      <c r="M66" s="2"/>
      <c r="N66" s="2"/>
    </row>
    <row r="67" spans="1:14" ht="75" customHeight="1" x14ac:dyDescent="0.35">
      <c r="A67" s="4" t="s">
        <v>325</v>
      </c>
      <c r="B67" s="5" t="s">
        <v>77</v>
      </c>
      <c r="C67" s="6" t="s">
        <v>8</v>
      </c>
      <c r="D67" s="7" t="s">
        <v>9</v>
      </c>
      <c r="E67" s="8" t="s">
        <v>573</v>
      </c>
      <c r="F67" s="7" t="s">
        <v>757</v>
      </c>
      <c r="G67" s="9">
        <v>2025</v>
      </c>
      <c r="H67" s="9">
        <f t="shared" si="4"/>
        <v>1</v>
      </c>
      <c r="I67" s="7" t="s">
        <v>762</v>
      </c>
      <c r="J67" s="10" t="str">
        <f t="shared" ref="J67:J130" si="5">IF(I67="Plt",
"Masih Plt",
IF(H67&lt;4,
"Periode 1",
IF(H67&lt;=8,
"Periode 2",
"Lebih dari 2 Periode"
)))</f>
        <v>Periode 1</v>
      </c>
      <c r="K67" s="11" t="str">
        <f t="shared" ref="K67:K130" si="6">IF(I67="Plt",
"Pemberitahuan:"&amp;CHAR(10)&amp;
"Kepala Sekolah masih berstatus Pelaksana Tugas (Plt) dan belum ditetapkan sebagai Kepala Sekolah definitif.",
IF(AND(OR(J67="Periode 1",J67="Periode 2"),F67="Sudah"),
"Aman Tanpa Masalah",
IF(AND(OR(J67="Periode 1",J67="Periode 2"),F67="Belum"),
"Berdasarkan Permendikdasmen Nomor 7 Tahun 2025 karena:"&amp;CHAR(10)&amp;
"Pasal 32. Belum memiliki sertifikat Pelatihan BCKS",
IF(AND(J67="Lebih dari 2 Periode",F67="Belum"),
"Berdasarkan Permendikdasmen Nomor 7 Tahun 2025 karena:"&amp;CHAR(10)&amp;
"Pasal 31. Telah melewati batas periode penugasan"&amp;CHAR(10)&amp;
"Pasal 32. Belum memiliki sertifikat Pelatihan BCKS",
IF(J67="Lebih dari 2 Periode",
"Berdasarkan Permendikdasmen Nomor 7 Tahun 2025 karena:"&amp;CHAR(10)&amp;
"Pasal 31. Telah melewati batas periode penugasan",
""
)))))</f>
        <v>Aman Tanpa Masalah</v>
      </c>
      <c r="L67" s="10" t="str">
        <f t="shared" ref="L67:L130" si="7">IF(J67="Masih Plt",
"Harap Segera Definitifkan",
IF(H67&lt;4,
"Aktif Periode 1",
IF(H67&lt;=8,
"Aktif Periode 2",
"Harus Diberhentikan"
)))</f>
        <v>Aktif Periode 1</v>
      </c>
      <c r="M67" s="2"/>
      <c r="N67" s="2"/>
    </row>
    <row r="68" spans="1:14" ht="75" customHeight="1" x14ac:dyDescent="0.35">
      <c r="A68" s="4" t="s">
        <v>326</v>
      </c>
      <c r="B68" s="5" t="s">
        <v>78</v>
      </c>
      <c r="C68" s="6" t="s">
        <v>8</v>
      </c>
      <c r="D68" s="7" t="s">
        <v>9</v>
      </c>
      <c r="E68" s="8" t="s">
        <v>574</v>
      </c>
      <c r="F68" s="7" t="s">
        <v>758</v>
      </c>
      <c r="G68" s="9">
        <v>2018</v>
      </c>
      <c r="H68" s="9">
        <f t="shared" si="4"/>
        <v>8</v>
      </c>
      <c r="I68" s="7" t="s">
        <v>762</v>
      </c>
      <c r="J68" s="10" t="str">
        <f t="shared" si="5"/>
        <v>Periode 2</v>
      </c>
      <c r="K68" s="11" t="str">
        <f t="shared" si="6"/>
        <v>Berdasarkan Permendikdasmen Nomor 7 Tahun 2025 karena:
Pasal 32. Belum memiliki sertifikat Pelatihan BCKS</v>
      </c>
      <c r="L68" s="10" t="str">
        <f t="shared" si="7"/>
        <v>Aktif Periode 2</v>
      </c>
      <c r="M68" s="2"/>
      <c r="N68" s="2"/>
    </row>
    <row r="69" spans="1:14" ht="75" customHeight="1" x14ac:dyDescent="0.35">
      <c r="A69" s="4" t="s">
        <v>327</v>
      </c>
      <c r="B69" s="5" t="s">
        <v>79</v>
      </c>
      <c r="C69" s="6" t="s">
        <v>8</v>
      </c>
      <c r="D69" s="7" t="s">
        <v>10</v>
      </c>
      <c r="E69" s="8" t="s">
        <v>575</v>
      </c>
      <c r="F69" s="7" t="s">
        <v>758</v>
      </c>
      <c r="G69" s="9">
        <v>2018</v>
      </c>
      <c r="H69" s="9">
        <f t="shared" si="4"/>
        <v>8</v>
      </c>
      <c r="I69" s="7" t="s">
        <v>762</v>
      </c>
      <c r="J69" s="10" t="str">
        <f t="shared" si="5"/>
        <v>Periode 2</v>
      </c>
      <c r="K69" s="11" t="str">
        <f t="shared" si="6"/>
        <v>Berdasarkan Permendikdasmen Nomor 7 Tahun 2025 karena:
Pasal 32. Belum memiliki sertifikat Pelatihan BCKS</v>
      </c>
      <c r="L69" s="10" t="str">
        <f t="shared" si="7"/>
        <v>Aktif Periode 2</v>
      </c>
      <c r="M69" s="2"/>
      <c r="N69" s="2"/>
    </row>
    <row r="70" spans="1:14" ht="75" customHeight="1" x14ac:dyDescent="0.35">
      <c r="A70" s="4" t="s">
        <v>328</v>
      </c>
      <c r="B70" s="5" t="s">
        <v>80</v>
      </c>
      <c r="C70" s="6" t="s">
        <v>8</v>
      </c>
      <c r="D70" s="7" t="s">
        <v>9</v>
      </c>
      <c r="E70" s="8" t="s">
        <v>576</v>
      </c>
      <c r="F70" s="7" t="s">
        <v>758</v>
      </c>
      <c r="G70" s="9">
        <v>2018</v>
      </c>
      <c r="H70" s="9">
        <f t="shared" si="4"/>
        <v>8</v>
      </c>
      <c r="I70" s="7" t="s">
        <v>762</v>
      </c>
      <c r="J70" s="10" t="str">
        <f t="shared" si="5"/>
        <v>Periode 2</v>
      </c>
      <c r="K70" s="11" t="str">
        <f t="shared" si="6"/>
        <v>Berdasarkan Permendikdasmen Nomor 7 Tahun 2025 karena:
Pasal 32. Belum memiliki sertifikat Pelatihan BCKS</v>
      </c>
      <c r="L70" s="10" t="str">
        <f t="shared" si="7"/>
        <v>Aktif Periode 2</v>
      </c>
      <c r="M70" s="2"/>
      <c r="N70" s="2"/>
    </row>
    <row r="71" spans="1:14" ht="75" customHeight="1" x14ac:dyDescent="0.35">
      <c r="A71" s="4" t="s">
        <v>329</v>
      </c>
      <c r="B71" s="5" t="s">
        <v>81</v>
      </c>
      <c r="C71" s="6" t="s">
        <v>8</v>
      </c>
      <c r="D71" s="7" t="s">
        <v>9</v>
      </c>
      <c r="E71" s="8" t="s">
        <v>577</v>
      </c>
      <c r="F71" s="7" t="s">
        <v>757</v>
      </c>
      <c r="G71" s="9">
        <v>2018</v>
      </c>
      <c r="H71" s="9">
        <f t="shared" si="4"/>
        <v>8</v>
      </c>
      <c r="I71" s="7" t="s">
        <v>762</v>
      </c>
      <c r="J71" s="10" t="str">
        <f t="shared" si="5"/>
        <v>Periode 2</v>
      </c>
      <c r="K71" s="11" t="str">
        <f t="shared" si="6"/>
        <v>Aman Tanpa Masalah</v>
      </c>
      <c r="L71" s="10" t="str">
        <f t="shared" si="7"/>
        <v>Aktif Periode 2</v>
      </c>
      <c r="M71" s="2"/>
      <c r="N71" s="2"/>
    </row>
    <row r="72" spans="1:14" ht="75" customHeight="1" x14ac:dyDescent="0.35">
      <c r="A72" s="4" t="s">
        <v>330</v>
      </c>
      <c r="B72" s="5" t="s">
        <v>82</v>
      </c>
      <c r="C72" s="6" t="s">
        <v>8</v>
      </c>
      <c r="D72" s="7" t="s">
        <v>10</v>
      </c>
      <c r="E72" s="8" t="s">
        <v>578</v>
      </c>
      <c r="F72" s="7" t="s">
        <v>758</v>
      </c>
      <c r="G72" s="9">
        <v>2018</v>
      </c>
      <c r="H72" s="9">
        <f t="shared" si="4"/>
        <v>8</v>
      </c>
      <c r="I72" s="7" t="s">
        <v>762</v>
      </c>
      <c r="J72" s="10" t="str">
        <f t="shared" si="5"/>
        <v>Periode 2</v>
      </c>
      <c r="K72" s="11" t="str">
        <f t="shared" si="6"/>
        <v>Berdasarkan Permendikdasmen Nomor 7 Tahun 2025 karena:
Pasal 32. Belum memiliki sertifikat Pelatihan BCKS</v>
      </c>
      <c r="L72" s="10" t="str">
        <f t="shared" si="7"/>
        <v>Aktif Periode 2</v>
      </c>
      <c r="M72" s="2"/>
      <c r="N72" s="2"/>
    </row>
    <row r="73" spans="1:14" ht="75" customHeight="1" x14ac:dyDescent="0.35">
      <c r="A73" s="4" t="s">
        <v>331</v>
      </c>
      <c r="B73" s="5" t="s">
        <v>83</v>
      </c>
      <c r="C73" s="6" t="s">
        <v>8</v>
      </c>
      <c r="D73" s="7" t="s">
        <v>9</v>
      </c>
      <c r="E73" s="8" t="s">
        <v>579</v>
      </c>
      <c r="F73" s="7" t="s">
        <v>758</v>
      </c>
      <c r="G73" s="9">
        <v>2018</v>
      </c>
      <c r="H73" s="9">
        <f t="shared" si="4"/>
        <v>8</v>
      </c>
      <c r="I73" s="7" t="s">
        <v>762</v>
      </c>
      <c r="J73" s="10" t="str">
        <f t="shared" si="5"/>
        <v>Periode 2</v>
      </c>
      <c r="K73" s="11" t="str">
        <f t="shared" si="6"/>
        <v>Berdasarkan Permendikdasmen Nomor 7 Tahun 2025 karena:
Pasal 32. Belum memiliki sertifikat Pelatihan BCKS</v>
      </c>
      <c r="L73" s="10" t="str">
        <f t="shared" si="7"/>
        <v>Aktif Periode 2</v>
      </c>
      <c r="M73" s="2"/>
      <c r="N73" s="2"/>
    </row>
    <row r="74" spans="1:14" ht="75" customHeight="1" x14ac:dyDescent="0.35">
      <c r="A74" s="4" t="s">
        <v>332</v>
      </c>
      <c r="B74" s="5" t="s">
        <v>84</v>
      </c>
      <c r="C74" s="6" t="s">
        <v>8</v>
      </c>
      <c r="D74" s="7" t="s">
        <v>9</v>
      </c>
      <c r="E74" s="8" t="s">
        <v>580</v>
      </c>
      <c r="F74" s="7" t="s">
        <v>758</v>
      </c>
      <c r="G74" s="9">
        <v>2018</v>
      </c>
      <c r="H74" s="9">
        <f t="shared" si="4"/>
        <v>8</v>
      </c>
      <c r="I74" s="7" t="s">
        <v>762</v>
      </c>
      <c r="J74" s="10" t="str">
        <f t="shared" si="5"/>
        <v>Periode 2</v>
      </c>
      <c r="K74" s="11" t="str">
        <f t="shared" si="6"/>
        <v>Berdasarkan Permendikdasmen Nomor 7 Tahun 2025 karena:
Pasal 32. Belum memiliki sertifikat Pelatihan BCKS</v>
      </c>
      <c r="L74" s="10" t="str">
        <f t="shared" si="7"/>
        <v>Aktif Periode 2</v>
      </c>
      <c r="M74" s="2"/>
      <c r="N74" s="2"/>
    </row>
    <row r="75" spans="1:14" ht="75" customHeight="1" x14ac:dyDescent="0.35">
      <c r="A75" s="4" t="s">
        <v>333</v>
      </c>
      <c r="B75" s="5" t="s">
        <v>85</v>
      </c>
      <c r="C75" s="6" t="s">
        <v>8</v>
      </c>
      <c r="D75" s="7" t="s">
        <v>9</v>
      </c>
      <c r="E75" s="8" t="s">
        <v>581</v>
      </c>
      <c r="F75" s="7" t="s">
        <v>757</v>
      </c>
      <c r="G75" s="9">
        <v>2023</v>
      </c>
      <c r="H75" s="9">
        <f t="shared" si="4"/>
        <v>3</v>
      </c>
      <c r="I75" s="7" t="s">
        <v>762</v>
      </c>
      <c r="J75" s="10" t="str">
        <f t="shared" si="5"/>
        <v>Periode 1</v>
      </c>
      <c r="K75" s="11" t="str">
        <f t="shared" si="6"/>
        <v>Aman Tanpa Masalah</v>
      </c>
      <c r="L75" s="10" t="str">
        <f t="shared" si="7"/>
        <v>Aktif Periode 1</v>
      </c>
      <c r="M75" s="2"/>
      <c r="N75" s="2"/>
    </row>
    <row r="76" spans="1:14" ht="75" customHeight="1" x14ac:dyDescent="0.35">
      <c r="A76" s="4" t="s">
        <v>334</v>
      </c>
      <c r="B76" s="5" t="s">
        <v>86</v>
      </c>
      <c r="C76" s="6" t="s">
        <v>8</v>
      </c>
      <c r="D76" s="7" t="s">
        <v>9</v>
      </c>
      <c r="E76" s="8" t="s">
        <v>582</v>
      </c>
      <c r="F76" s="7" t="s">
        <v>758</v>
      </c>
      <c r="G76" s="9">
        <v>2023</v>
      </c>
      <c r="H76" s="9">
        <f t="shared" si="4"/>
        <v>3</v>
      </c>
      <c r="I76" s="7" t="s">
        <v>762</v>
      </c>
      <c r="J76" s="10" t="str">
        <f t="shared" si="5"/>
        <v>Periode 1</v>
      </c>
      <c r="K76" s="11" t="str">
        <f t="shared" si="6"/>
        <v>Berdasarkan Permendikdasmen Nomor 7 Tahun 2025 karena:
Pasal 32. Belum memiliki sertifikat Pelatihan BCKS</v>
      </c>
      <c r="L76" s="10" t="str">
        <f t="shared" si="7"/>
        <v>Aktif Periode 1</v>
      </c>
      <c r="M76" s="2"/>
      <c r="N76" s="2"/>
    </row>
    <row r="77" spans="1:14" ht="75" customHeight="1" x14ac:dyDescent="0.35">
      <c r="A77" s="4" t="s">
        <v>335</v>
      </c>
      <c r="B77" s="5" t="s">
        <v>87</v>
      </c>
      <c r="C77" s="6" t="s">
        <v>8</v>
      </c>
      <c r="D77" s="7" t="s">
        <v>9</v>
      </c>
      <c r="E77" s="8" t="s">
        <v>583</v>
      </c>
      <c r="F77" s="7" t="s">
        <v>758</v>
      </c>
      <c r="G77" s="9">
        <v>2023</v>
      </c>
      <c r="H77" s="9">
        <f t="shared" si="4"/>
        <v>3</v>
      </c>
      <c r="I77" s="7" t="s">
        <v>762</v>
      </c>
      <c r="J77" s="10" t="str">
        <f t="shared" si="5"/>
        <v>Periode 1</v>
      </c>
      <c r="K77" s="11" t="str">
        <f t="shared" si="6"/>
        <v>Berdasarkan Permendikdasmen Nomor 7 Tahun 2025 karena:
Pasal 32. Belum memiliki sertifikat Pelatihan BCKS</v>
      </c>
      <c r="L77" s="10" t="str">
        <f t="shared" si="7"/>
        <v>Aktif Periode 1</v>
      </c>
      <c r="M77" s="2"/>
      <c r="N77" s="2"/>
    </row>
    <row r="78" spans="1:14" ht="75" customHeight="1" x14ac:dyDescent="0.35">
      <c r="A78" s="4" t="s">
        <v>336</v>
      </c>
      <c r="B78" s="5" t="s">
        <v>88</v>
      </c>
      <c r="C78" s="6" t="s">
        <v>8</v>
      </c>
      <c r="D78" s="7" t="s">
        <v>9</v>
      </c>
      <c r="E78" s="8" t="s">
        <v>584</v>
      </c>
      <c r="F78" s="7" t="s">
        <v>758</v>
      </c>
      <c r="G78" s="9">
        <v>2023</v>
      </c>
      <c r="H78" s="9">
        <f t="shared" si="4"/>
        <v>3</v>
      </c>
      <c r="I78" s="7" t="s">
        <v>762</v>
      </c>
      <c r="J78" s="10" t="str">
        <f t="shared" si="5"/>
        <v>Periode 1</v>
      </c>
      <c r="K78" s="11" t="str">
        <f t="shared" si="6"/>
        <v>Berdasarkan Permendikdasmen Nomor 7 Tahun 2025 karena:
Pasal 32. Belum memiliki sertifikat Pelatihan BCKS</v>
      </c>
      <c r="L78" s="10" t="str">
        <f t="shared" si="7"/>
        <v>Aktif Periode 1</v>
      </c>
      <c r="M78" s="2"/>
      <c r="N78" s="2"/>
    </row>
    <row r="79" spans="1:14" ht="75" customHeight="1" x14ac:dyDescent="0.35">
      <c r="A79" s="4" t="s">
        <v>337</v>
      </c>
      <c r="B79" s="5" t="s">
        <v>89</v>
      </c>
      <c r="C79" s="6" t="s">
        <v>8</v>
      </c>
      <c r="D79" s="7" t="s">
        <v>9</v>
      </c>
      <c r="E79" s="8" t="s">
        <v>585</v>
      </c>
      <c r="F79" s="7" t="s">
        <v>757</v>
      </c>
      <c r="G79" s="9">
        <v>2023</v>
      </c>
      <c r="H79" s="9">
        <f t="shared" si="4"/>
        <v>3</v>
      </c>
      <c r="I79" s="7" t="s">
        <v>762</v>
      </c>
      <c r="J79" s="10" t="str">
        <f t="shared" si="5"/>
        <v>Periode 1</v>
      </c>
      <c r="K79" s="11" t="str">
        <f t="shared" si="6"/>
        <v>Aman Tanpa Masalah</v>
      </c>
      <c r="L79" s="10" t="str">
        <f t="shared" si="7"/>
        <v>Aktif Periode 1</v>
      </c>
      <c r="M79" s="2"/>
      <c r="N79" s="2"/>
    </row>
    <row r="80" spans="1:14" ht="75" customHeight="1" x14ac:dyDescent="0.35">
      <c r="A80" s="4" t="s">
        <v>338</v>
      </c>
      <c r="B80" s="5" t="s">
        <v>90</v>
      </c>
      <c r="C80" s="6" t="s">
        <v>8</v>
      </c>
      <c r="D80" s="7" t="s">
        <v>9</v>
      </c>
      <c r="E80" s="8" t="s">
        <v>586</v>
      </c>
      <c r="F80" s="7" t="s">
        <v>758</v>
      </c>
      <c r="G80" s="9">
        <v>2023</v>
      </c>
      <c r="H80" s="9">
        <f t="shared" si="4"/>
        <v>3</v>
      </c>
      <c r="I80" s="7" t="s">
        <v>762</v>
      </c>
      <c r="J80" s="10" t="str">
        <f t="shared" si="5"/>
        <v>Periode 1</v>
      </c>
      <c r="K80" s="11" t="str">
        <f t="shared" si="6"/>
        <v>Berdasarkan Permendikdasmen Nomor 7 Tahun 2025 karena:
Pasal 32. Belum memiliki sertifikat Pelatihan BCKS</v>
      </c>
      <c r="L80" s="10" t="str">
        <f t="shared" si="7"/>
        <v>Aktif Periode 1</v>
      </c>
      <c r="M80" s="2"/>
      <c r="N80" s="2"/>
    </row>
    <row r="81" spans="1:14" ht="75" customHeight="1" x14ac:dyDescent="0.35">
      <c r="A81" s="4" t="s">
        <v>339</v>
      </c>
      <c r="B81" s="5" t="s">
        <v>91</v>
      </c>
      <c r="C81" s="6" t="s">
        <v>8</v>
      </c>
      <c r="D81" s="7" t="s">
        <v>9</v>
      </c>
      <c r="E81" s="8" t="s">
        <v>587</v>
      </c>
      <c r="F81" s="7" t="s">
        <v>758</v>
      </c>
      <c r="G81" s="9">
        <v>2023</v>
      </c>
      <c r="H81" s="9">
        <f t="shared" si="4"/>
        <v>3</v>
      </c>
      <c r="I81" s="7" t="s">
        <v>762</v>
      </c>
      <c r="J81" s="10" t="str">
        <f t="shared" si="5"/>
        <v>Periode 1</v>
      </c>
      <c r="K81" s="11" t="str">
        <f t="shared" si="6"/>
        <v>Berdasarkan Permendikdasmen Nomor 7 Tahun 2025 karena:
Pasal 32. Belum memiliki sertifikat Pelatihan BCKS</v>
      </c>
      <c r="L81" s="10" t="str">
        <f t="shared" si="7"/>
        <v>Aktif Periode 1</v>
      </c>
      <c r="M81" s="2"/>
      <c r="N81" s="2"/>
    </row>
    <row r="82" spans="1:14" ht="75" customHeight="1" x14ac:dyDescent="0.35">
      <c r="A82" s="4" t="s">
        <v>340</v>
      </c>
      <c r="B82" s="5" t="s">
        <v>92</v>
      </c>
      <c r="C82" s="6" t="s">
        <v>8</v>
      </c>
      <c r="D82" s="7" t="s">
        <v>11</v>
      </c>
      <c r="E82" s="8" t="s">
        <v>588</v>
      </c>
      <c r="F82" s="7" t="s">
        <v>758</v>
      </c>
      <c r="G82" s="9">
        <v>2023</v>
      </c>
      <c r="H82" s="9">
        <f t="shared" si="4"/>
        <v>3</v>
      </c>
      <c r="I82" s="7" t="s">
        <v>762</v>
      </c>
      <c r="J82" s="10" t="str">
        <f t="shared" si="5"/>
        <v>Periode 1</v>
      </c>
      <c r="K82" s="11" t="str">
        <f t="shared" si="6"/>
        <v>Berdasarkan Permendikdasmen Nomor 7 Tahun 2025 karena:
Pasal 32. Belum memiliki sertifikat Pelatihan BCKS</v>
      </c>
      <c r="L82" s="10" t="str">
        <f t="shared" si="7"/>
        <v>Aktif Periode 1</v>
      </c>
      <c r="M82" s="2"/>
      <c r="N82" s="2"/>
    </row>
    <row r="83" spans="1:14" ht="75" customHeight="1" x14ac:dyDescent="0.35">
      <c r="A83" s="4" t="s">
        <v>341</v>
      </c>
      <c r="B83" s="5" t="s">
        <v>93</v>
      </c>
      <c r="C83" s="6" t="s">
        <v>8</v>
      </c>
      <c r="D83" s="7" t="s">
        <v>9</v>
      </c>
      <c r="E83" s="8" t="s">
        <v>589</v>
      </c>
      <c r="F83" s="7" t="s">
        <v>757</v>
      </c>
      <c r="G83" s="9">
        <v>2023</v>
      </c>
      <c r="H83" s="9">
        <f t="shared" si="4"/>
        <v>3</v>
      </c>
      <c r="I83" s="7" t="s">
        <v>762</v>
      </c>
      <c r="J83" s="10" t="str">
        <f t="shared" si="5"/>
        <v>Periode 1</v>
      </c>
      <c r="K83" s="11" t="str">
        <f t="shared" si="6"/>
        <v>Aman Tanpa Masalah</v>
      </c>
      <c r="L83" s="10" t="str">
        <f t="shared" si="7"/>
        <v>Aktif Periode 1</v>
      </c>
      <c r="M83" s="2"/>
      <c r="N83" s="2"/>
    </row>
    <row r="84" spans="1:14" ht="75" customHeight="1" x14ac:dyDescent="0.35">
      <c r="A84" s="4" t="s">
        <v>342</v>
      </c>
      <c r="B84" s="5" t="s">
        <v>94</v>
      </c>
      <c r="C84" s="6" t="s">
        <v>8</v>
      </c>
      <c r="D84" s="7" t="s">
        <v>10</v>
      </c>
      <c r="E84" s="8" t="s">
        <v>590</v>
      </c>
      <c r="F84" s="7" t="s">
        <v>757</v>
      </c>
      <c r="G84" s="9">
        <v>2023</v>
      </c>
      <c r="H84" s="9">
        <f t="shared" si="4"/>
        <v>3</v>
      </c>
      <c r="I84" s="7" t="s">
        <v>762</v>
      </c>
      <c r="J84" s="10" t="str">
        <f t="shared" si="5"/>
        <v>Periode 1</v>
      </c>
      <c r="K84" s="11" t="str">
        <f t="shared" si="6"/>
        <v>Aman Tanpa Masalah</v>
      </c>
      <c r="L84" s="10" t="str">
        <f t="shared" si="7"/>
        <v>Aktif Periode 1</v>
      </c>
      <c r="M84" s="2"/>
      <c r="N84" s="2"/>
    </row>
    <row r="85" spans="1:14" ht="75" customHeight="1" x14ac:dyDescent="0.35">
      <c r="A85" s="4" t="s">
        <v>343</v>
      </c>
      <c r="B85" s="5" t="s">
        <v>95</v>
      </c>
      <c r="C85" s="6" t="s">
        <v>8</v>
      </c>
      <c r="D85" s="7" t="s">
        <v>9</v>
      </c>
      <c r="E85" s="8" t="s">
        <v>591</v>
      </c>
      <c r="F85" s="7" t="s">
        <v>757</v>
      </c>
      <c r="G85" s="9">
        <v>2010</v>
      </c>
      <c r="H85" s="9">
        <f t="shared" si="4"/>
        <v>16</v>
      </c>
      <c r="I85" s="7" t="s">
        <v>762</v>
      </c>
      <c r="J85" s="10" t="str">
        <f t="shared" si="5"/>
        <v>Lebih dari 2 Periode</v>
      </c>
      <c r="K85" s="11" t="str">
        <f t="shared" si="6"/>
        <v>Berdasarkan Permendikdasmen Nomor 7 Tahun 2025 karena:
Pasal 31. Telah melewati batas periode penugasan</v>
      </c>
      <c r="L85" s="10" t="str">
        <f t="shared" si="7"/>
        <v>Harus Diberhentikan</v>
      </c>
      <c r="M85" s="2"/>
      <c r="N85" s="2"/>
    </row>
    <row r="86" spans="1:14" ht="75" customHeight="1" x14ac:dyDescent="0.35">
      <c r="A86" s="4" t="s">
        <v>344</v>
      </c>
      <c r="B86" s="5" t="s">
        <v>96</v>
      </c>
      <c r="C86" s="6" t="s">
        <v>8</v>
      </c>
      <c r="D86" s="7" t="s">
        <v>11</v>
      </c>
      <c r="E86" s="8" t="s">
        <v>592</v>
      </c>
      <c r="F86" s="7" t="s">
        <v>758</v>
      </c>
      <c r="G86" s="9">
        <v>2010</v>
      </c>
      <c r="H86" s="9">
        <f t="shared" si="4"/>
        <v>16</v>
      </c>
      <c r="I86" s="7" t="s">
        <v>762</v>
      </c>
      <c r="J86" s="10" t="str">
        <f t="shared" si="5"/>
        <v>Lebih dari 2 Periode</v>
      </c>
      <c r="K86" s="11" t="str">
        <f t="shared" si="6"/>
        <v>Berdasarkan Permendikdasmen Nomor 7 Tahun 2025 karena:
Pasal 31. Telah melewati batas periode penugasan
Pasal 32. Belum memiliki sertifikat Pelatihan BCKS</v>
      </c>
      <c r="L86" s="10" t="str">
        <f t="shared" si="7"/>
        <v>Harus Diberhentikan</v>
      </c>
      <c r="M86" s="2"/>
      <c r="N86" s="2"/>
    </row>
    <row r="87" spans="1:14" ht="75" customHeight="1" x14ac:dyDescent="0.35">
      <c r="A87" s="4" t="s">
        <v>345</v>
      </c>
      <c r="B87" s="5" t="s">
        <v>97</v>
      </c>
      <c r="C87" s="6" t="s">
        <v>8</v>
      </c>
      <c r="D87" s="7" t="s">
        <v>9</v>
      </c>
      <c r="E87" s="8" t="s">
        <v>593</v>
      </c>
      <c r="F87" s="7" t="s">
        <v>757</v>
      </c>
      <c r="G87" s="9">
        <v>2010</v>
      </c>
      <c r="H87" s="9">
        <f t="shared" si="4"/>
        <v>16</v>
      </c>
      <c r="I87" s="7" t="s">
        <v>762</v>
      </c>
      <c r="J87" s="10" t="str">
        <f t="shared" si="5"/>
        <v>Lebih dari 2 Periode</v>
      </c>
      <c r="K87" s="11" t="str">
        <f t="shared" si="6"/>
        <v>Berdasarkan Permendikdasmen Nomor 7 Tahun 2025 karena:
Pasal 31. Telah melewati batas periode penugasan</v>
      </c>
      <c r="L87" s="10" t="str">
        <f t="shared" si="7"/>
        <v>Harus Diberhentikan</v>
      </c>
      <c r="M87" s="2"/>
      <c r="N87" s="2"/>
    </row>
    <row r="88" spans="1:14" ht="75" customHeight="1" x14ac:dyDescent="0.35">
      <c r="A88" s="4" t="s">
        <v>346</v>
      </c>
      <c r="B88" s="5" t="s">
        <v>98</v>
      </c>
      <c r="C88" s="6" t="s">
        <v>8</v>
      </c>
      <c r="D88" s="7" t="s">
        <v>9</v>
      </c>
      <c r="E88" s="8" t="s">
        <v>594</v>
      </c>
      <c r="F88" s="7" t="s">
        <v>758</v>
      </c>
      <c r="G88" s="9">
        <v>2010</v>
      </c>
      <c r="H88" s="9">
        <f t="shared" si="4"/>
        <v>16</v>
      </c>
      <c r="I88" s="7" t="s">
        <v>762</v>
      </c>
      <c r="J88" s="10" t="str">
        <f t="shared" si="5"/>
        <v>Lebih dari 2 Periode</v>
      </c>
      <c r="K88" s="11" t="str">
        <f t="shared" si="6"/>
        <v>Berdasarkan Permendikdasmen Nomor 7 Tahun 2025 karena:
Pasal 31. Telah melewati batas periode penugasan
Pasal 32. Belum memiliki sertifikat Pelatihan BCKS</v>
      </c>
      <c r="L88" s="10" t="str">
        <f t="shared" si="7"/>
        <v>Harus Diberhentikan</v>
      </c>
      <c r="M88" s="2"/>
      <c r="N88" s="2"/>
    </row>
    <row r="89" spans="1:14" ht="75" customHeight="1" x14ac:dyDescent="0.35">
      <c r="A89" s="4" t="s">
        <v>347</v>
      </c>
      <c r="B89" s="5" t="s">
        <v>99</v>
      </c>
      <c r="C89" s="6" t="s">
        <v>8</v>
      </c>
      <c r="D89" s="7" t="s">
        <v>9</v>
      </c>
      <c r="E89" s="8" t="s">
        <v>595</v>
      </c>
      <c r="F89" s="7" t="s">
        <v>758</v>
      </c>
      <c r="G89" s="9">
        <v>2024</v>
      </c>
      <c r="H89" s="9">
        <f t="shared" si="4"/>
        <v>2</v>
      </c>
      <c r="I89" s="7" t="s">
        <v>762</v>
      </c>
      <c r="J89" s="10" t="str">
        <f t="shared" si="5"/>
        <v>Periode 1</v>
      </c>
      <c r="K89" s="11" t="str">
        <f t="shared" si="6"/>
        <v>Berdasarkan Permendikdasmen Nomor 7 Tahun 2025 karena:
Pasal 32. Belum memiliki sertifikat Pelatihan BCKS</v>
      </c>
      <c r="L89" s="10" t="str">
        <f t="shared" si="7"/>
        <v>Aktif Periode 1</v>
      </c>
      <c r="M89" s="2"/>
      <c r="N89" s="2"/>
    </row>
    <row r="90" spans="1:14" ht="75" customHeight="1" x14ac:dyDescent="0.35">
      <c r="A90" s="4" t="s">
        <v>348</v>
      </c>
      <c r="B90" s="5" t="s">
        <v>100</v>
      </c>
      <c r="C90" s="6" t="s">
        <v>8</v>
      </c>
      <c r="D90" s="7" t="s">
        <v>9</v>
      </c>
      <c r="E90" s="8" t="s">
        <v>596</v>
      </c>
      <c r="F90" s="7" t="s">
        <v>758</v>
      </c>
      <c r="G90" s="9">
        <v>2024</v>
      </c>
      <c r="H90" s="9">
        <f t="shared" si="4"/>
        <v>2</v>
      </c>
      <c r="I90" s="7" t="s">
        <v>762</v>
      </c>
      <c r="J90" s="10" t="str">
        <f t="shared" si="5"/>
        <v>Periode 1</v>
      </c>
      <c r="K90" s="11" t="str">
        <f t="shared" si="6"/>
        <v>Berdasarkan Permendikdasmen Nomor 7 Tahun 2025 karena:
Pasal 32. Belum memiliki sertifikat Pelatihan BCKS</v>
      </c>
      <c r="L90" s="10" t="str">
        <f t="shared" si="7"/>
        <v>Aktif Periode 1</v>
      </c>
      <c r="M90" s="2"/>
      <c r="N90" s="2"/>
    </row>
    <row r="91" spans="1:14" ht="75" customHeight="1" x14ac:dyDescent="0.35">
      <c r="A91" s="4" t="s">
        <v>349</v>
      </c>
      <c r="B91" s="5" t="s">
        <v>101</v>
      </c>
      <c r="C91" s="6" t="s">
        <v>8</v>
      </c>
      <c r="D91" s="7" t="s">
        <v>10</v>
      </c>
      <c r="E91" s="8" t="s">
        <v>597</v>
      </c>
      <c r="F91" s="7" t="s">
        <v>757</v>
      </c>
      <c r="G91" s="9">
        <v>2024</v>
      </c>
      <c r="H91" s="9">
        <f t="shared" si="4"/>
        <v>2</v>
      </c>
      <c r="I91" s="7" t="s">
        <v>762</v>
      </c>
      <c r="J91" s="10" t="str">
        <f t="shared" si="5"/>
        <v>Periode 1</v>
      </c>
      <c r="K91" s="11" t="str">
        <f t="shared" si="6"/>
        <v>Aman Tanpa Masalah</v>
      </c>
      <c r="L91" s="10" t="str">
        <f t="shared" si="7"/>
        <v>Aktif Periode 1</v>
      </c>
      <c r="M91" s="2"/>
      <c r="N91" s="2"/>
    </row>
    <row r="92" spans="1:14" ht="75" customHeight="1" x14ac:dyDescent="0.35">
      <c r="A92" s="4" t="s">
        <v>350</v>
      </c>
      <c r="B92" s="5" t="s">
        <v>102</v>
      </c>
      <c r="C92" s="6" t="s">
        <v>8</v>
      </c>
      <c r="D92" s="7" t="s">
        <v>10</v>
      </c>
      <c r="E92" s="8" t="s">
        <v>598</v>
      </c>
      <c r="F92" s="7" t="s">
        <v>757</v>
      </c>
      <c r="G92" s="9">
        <v>2024</v>
      </c>
      <c r="H92" s="9">
        <f t="shared" si="4"/>
        <v>2</v>
      </c>
      <c r="I92" s="7" t="s">
        <v>762</v>
      </c>
      <c r="J92" s="10" t="str">
        <f t="shared" si="5"/>
        <v>Periode 1</v>
      </c>
      <c r="K92" s="11" t="str">
        <f t="shared" si="6"/>
        <v>Aman Tanpa Masalah</v>
      </c>
      <c r="L92" s="10" t="str">
        <f t="shared" si="7"/>
        <v>Aktif Periode 1</v>
      </c>
      <c r="M92" s="2"/>
      <c r="N92" s="2"/>
    </row>
    <row r="93" spans="1:14" ht="75" customHeight="1" x14ac:dyDescent="0.35">
      <c r="A93" s="4" t="s">
        <v>351</v>
      </c>
      <c r="B93" s="5" t="s">
        <v>103</v>
      </c>
      <c r="C93" s="6" t="s">
        <v>8</v>
      </c>
      <c r="D93" s="7" t="s">
        <v>9</v>
      </c>
      <c r="E93" s="8" t="s">
        <v>599</v>
      </c>
      <c r="F93" s="7" t="s">
        <v>757</v>
      </c>
      <c r="G93" s="9">
        <v>2024</v>
      </c>
      <c r="H93" s="9">
        <f t="shared" si="4"/>
        <v>2</v>
      </c>
      <c r="I93" s="7" t="s">
        <v>762</v>
      </c>
      <c r="J93" s="10" t="str">
        <f t="shared" si="5"/>
        <v>Periode 1</v>
      </c>
      <c r="K93" s="11" t="str">
        <f t="shared" si="6"/>
        <v>Aman Tanpa Masalah</v>
      </c>
      <c r="L93" s="10" t="str">
        <f t="shared" si="7"/>
        <v>Aktif Periode 1</v>
      </c>
      <c r="M93" s="2"/>
      <c r="N93" s="2"/>
    </row>
    <row r="94" spans="1:14" ht="75" customHeight="1" x14ac:dyDescent="0.35">
      <c r="A94" s="4" t="s">
        <v>352</v>
      </c>
      <c r="B94" s="5" t="s">
        <v>104</v>
      </c>
      <c r="C94" s="6" t="s">
        <v>8</v>
      </c>
      <c r="D94" s="7" t="s">
        <v>10</v>
      </c>
      <c r="E94" s="8" t="s">
        <v>600</v>
      </c>
      <c r="F94" s="7" t="s">
        <v>757</v>
      </c>
      <c r="G94" s="9">
        <v>2024</v>
      </c>
      <c r="H94" s="9">
        <f t="shared" si="4"/>
        <v>2</v>
      </c>
      <c r="I94" s="7" t="s">
        <v>762</v>
      </c>
      <c r="J94" s="10" t="str">
        <f t="shared" si="5"/>
        <v>Periode 1</v>
      </c>
      <c r="K94" s="11" t="str">
        <f t="shared" si="6"/>
        <v>Aman Tanpa Masalah</v>
      </c>
      <c r="L94" s="10" t="str">
        <f t="shared" si="7"/>
        <v>Aktif Periode 1</v>
      </c>
      <c r="M94" s="2"/>
      <c r="N94" s="2"/>
    </row>
    <row r="95" spans="1:14" ht="75" customHeight="1" x14ac:dyDescent="0.35">
      <c r="A95" s="4" t="s">
        <v>353</v>
      </c>
      <c r="B95" s="5" t="s">
        <v>105</v>
      </c>
      <c r="C95" s="6" t="s">
        <v>8</v>
      </c>
      <c r="D95" s="7" t="s">
        <v>9</v>
      </c>
      <c r="E95" s="8" t="s">
        <v>601</v>
      </c>
      <c r="F95" s="7" t="s">
        <v>758</v>
      </c>
      <c r="G95" s="9">
        <v>2024</v>
      </c>
      <c r="H95" s="9">
        <f t="shared" si="4"/>
        <v>2</v>
      </c>
      <c r="I95" s="7" t="s">
        <v>762</v>
      </c>
      <c r="J95" s="10" t="str">
        <f t="shared" si="5"/>
        <v>Periode 1</v>
      </c>
      <c r="K95" s="11" t="str">
        <f t="shared" si="6"/>
        <v>Berdasarkan Permendikdasmen Nomor 7 Tahun 2025 karena:
Pasal 32. Belum memiliki sertifikat Pelatihan BCKS</v>
      </c>
      <c r="L95" s="10" t="str">
        <f t="shared" si="7"/>
        <v>Aktif Periode 1</v>
      </c>
      <c r="M95" s="2"/>
      <c r="N95" s="2"/>
    </row>
    <row r="96" spans="1:14" ht="75" customHeight="1" x14ac:dyDescent="0.35">
      <c r="A96" s="4" t="s">
        <v>354</v>
      </c>
      <c r="B96" s="5" t="s">
        <v>106</v>
      </c>
      <c r="C96" s="6" t="s">
        <v>8</v>
      </c>
      <c r="D96" s="7" t="s">
        <v>9</v>
      </c>
      <c r="E96" s="8" t="s">
        <v>602</v>
      </c>
      <c r="F96" s="7" t="s">
        <v>758</v>
      </c>
      <c r="G96" s="9">
        <v>2024</v>
      </c>
      <c r="H96" s="9">
        <f t="shared" si="4"/>
        <v>2</v>
      </c>
      <c r="I96" s="7" t="s">
        <v>762</v>
      </c>
      <c r="J96" s="10" t="str">
        <f t="shared" si="5"/>
        <v>Periode 1</v>
      </c>
      <c r="K96" s="11" t="str">
        <f t="shared" si="6"/>
        <v>Berdasarkan Permendikdasmen Nomor 7 Tahun 2025 karena:
Pasal 32. Belum memiliki sertifikat Pelatihan BCKS</v>
      </c>
      <c r="L96" s="10" t="str">
        <f t="shared" si="7"/>
        <v>Aktif Periode 1</v>
      </c>
      <c r="M96" s="2"/>
      <c r="N96" s="2"/>
    </row>
    <row r="97" spans="1:14" ht="75" customHeight="1" x14ac:dyDescent="0.35">
      <c r="A97" s="4" t="s">
        <v>355</v>
      </c>
      <c r="B97" s="5" t="s">
        <v>107</v>
      </c>
      <c r="C97" s="6" t="s">
        <v>8</v>
      </c>
      <c r="D97" s="7" t="s">
        <v>10</v>
      </c>
      <c r="E97" s="8" t="s">
        <v>603</v>
      </c>
      <c r="F97" s="7" t="s">
        <v>758</v>
      </c>
      <c r="G97" s="9">
        <v>2024</v>
      </c>
      <c r="H97" s="9">
        <f t="shared" si="4"/>
        <v>2</v>
      </c>
      <c r="I97" s="7" t="s">
        <v>762</v>
      </c>
      <c r="J97" s="10" t="str">
        <f t="shared" si="5"/>
        <v>Periode 1</v>
      </c>
      <c r="K97" s="11" t="str">
        <f t="shared" si="6"/>
        <v>Berdasarkan Permendikdasmen Nomor 7 Tahun 2025 karena:
Pasal 32. Belum memiliki sertifikat Pelatihan BCKS</v>
      </c>
      <c r="L97" s="10" t="str">
        <f t="shared" si="7"/>
        <v>Aktif Periode 1</v>
      </c>
      <c r="M97" s="2"/>
      <c r="N97" s="2"/>
    </row>
    <row r="98" spans="1:14" ht="75" customHeight="1" x14ac:dyDescent="0.35">
      <c r="A98" s="4" t="s">
        <v>356</v>
      </c>
      <c r="B98" s="5" t="s">
        <v>108</v>
      </c>
      <c r="C98" s="6" t="s">
        <v>8</v>
      </c>
      <c r="D98" s="7" t="s">
        <v>9</v>
      </c>
      <c r="E98" s="8" t="s">
        <v>604</v>
      </c>
      <c r="F98" s="7" t="s">
        <v>757</v>
      </c>
      <c r="G98" s="9">
        <v>2024</v>
      </c>
      <c r="H98" s="9">
        <f t="shared" si="4"/>
        <v>2</v>
      </c>
      <c r="I98" s="7" t="s">
        <v>762</v>
      </c>
      <c r="J98" s="10" t="str">
        <f t="shared" si="5"/>
        <v>Periode 1</v>
      </c>
      <c r="K98" s="11" t="str">
        <f t="shared" si="6"/>
        <v>Aman Tanpa Masalah</v>
      </c>
      <c r="L98" s="10" t="str">
        <f t="shared" si="7"/>
        <v>Aktif Periode 1</v>
      </c>
      <c r="M98" s="2"/>
      <c r="N98" s="2"/>
    </row>
    <row r="99" spans="1:14" ht="75" customHeight="1" x14ac:dyDescent="0.35">
      <c r="A99" s="4" t="s">
        <v>357</v>
      </c>
      <c r="B99" s="5" t="s">
        <v>109</v>
      </c>
      <c r="C99" s="6" t="s">
        <v>8</v>
      </c>
      <c r="D99" s="7" t="s">
        <v>9</v>
      </c>
      <c r="E99" s="8" t="s">
        <v>605</v>
      </c>
      <c r="F99" s="7" t="s">
        <v>758</v>
      </c>
      <c r="G99" s="9">
        <v>2024</v>
      </c>
      <c r="H99" s="9">
        <f t="shared" si="4"/>
        <v>2</v>
      </c>
      <c r="I99" s="7" t="s">
        <v>762</v>
      </c>
      <c r="J99" s="10" t="str">
        <f t="shared" si="5"/>
        <v>Periode 1</v>
      </c>
      <c r="K99" s="11" t="str">
        <f t="shared" si="6"/>
        <v>Berdasarkan Permendikdasmen Nomor 7 Tahun 2025 karena:
Pasal 32. Belum memiliki sertifikat Pelatihan BCKS</v>
      </c>
      <c r="L99" s="10" t="str">
        <f t="shared" si="7"/>
        <v>Aktif Periode 1</v>
      </c>
      <c r="M99" s="2"/>
      <c r="N99" s="2"/>
    </row>
    <row r="100" spans="1:14" ht="75" customHeight="1" x14ac:dyDescent="0.35">
      <c r="A100" s="4" t="s">
        <v>358</v>
      </c>
      <c r="B100" s="5" t="s">
        <v>110</v>
      </c>
      <c r="C100" s="6" t="s">
        <v>8</v>
      </c>
      <c r="D100" s="7" t="s">
        <v>9</v>
      </c>
      <c r="E100" s="8" t="s">
        <v>606</v>
      </c>
      <c r="F100" s="7" t="s">
        <v>758</v>
      </c>
      <c r="G100" s="9">
        <v>2024</v>
      </c>
      <c r="H100" s="9">
        <f t="shared" si="4"/>
        <v>2</v>
      </c>
      <c r="I100" s="7" t="s">
        <v>762</v>
      </c>
      <c r="J100" s="10" t="str">
        <f t="shared" si="5"/>
        <v>Periode 1</v>
      </c>
      <c r="K100" s="11" t="str">
        <f t="shared" si="6"/>
        <v>Berdasarkan Permendikdasmen Nomor 7 Tahun 2025 karena:
Pasal 32. Belum memiliki sertifikat Pelatihan BCKS</v>
      </c>
      <c r="L100" s="10" t="str">
        <f t="shared" si="7"/>
        <v>Aktif Periode 1</v>
      </c>
      <c r="M100" s="2"/>
      <c r="N100" s="2"/>
    </row>
    <row r="101" spans="1:14" ht="75" customHeight="1" x14ac:dyDescent="0.35">
      <c r="A101" s="4" t="s">
        <v>359</v>
      </c>
      <c r="B101" s="5" t="s">
        <v>111</v>
      </c>
      <c r="C101" s="6" t="s">
        <v>8</v>
      </c>
      <c r="D101" s="7" t="s">
        <v>9</v>
      </c>
      <c r="E101" s="8" t="s">
        <v>607</v>
      </c>
      <c r="F101" s="7" t="s">
        <v>758</v>
      </c>
      <c r="G101" s="9">
        <v>2024</v>
      </c>
      <c r="H101" s="9">
        <f t="shared" si="4"/>
        <v>2</v>
      </c>
      <c r="I101" s="7" t="s">
        <v>762</v>
      </c>
      <c r="J101" s="10" t="str">
        <f t="shared" si="5"/>
        <v>Periode 1</v>
      </c>
      <c r="K101" s="11" t="str">
        <f t="shared" si="6"/>
        <v>Berdasarkan Permendikdasmen Nomor 7 Tahun 2025 karena:
Pasal 32. Belum memiliki sertifikat Pelatihan BCKS</v>
      </c>
      <c r="L101" s="10" t="str">
        <f t="shared" si="7"/>
        <v>Aktif Periode 1</v>
      </c>
      <c r="M101" s="2"/>
      <c r="N101" s="2"/>
    </row>
    <row r="102" spans="1:14" ht="75" customHeight="1" x14ac:dyDescent="0.35">
      <c r="A102" s="4" t="s">
        <v>360</v>
      </c>
      <c r="B102" s="5" t="s">
        <v>112</v>
      </c>
      <c r="C102" s="6" t="s">
        <v>8</v>
      </c>
      <c r="D102" s="7" t="s">
        <v>9</v>
      </c>
      <c r="E102" s="8" t="s">
        <v>608</v>
      </c>
      <c r="F102" s="7" t="s">
        <v>758</v>
      </c>
      <c r="G102" s="9">
        <v>2024</v>
      </c>
      <c r="H102" s="9">
        <f t="shared" si="4"/>
        <v>2</v>
      </c>
      <c r="I102" s="7" t="s">
        <v>762</v>
      </c>
      <c r="J102" s="10" t="str">
        <f t="shared" si="5"/>
        <v>Periode 1</v>
      </c>
      <c r="K102" s="11" t="str">
        <f t="shared" si="6"/>
        <v>Berdasarkan Permendikdasmen Nomor 7 Tahun 2025 karena:
Pasal 32. Belum memiliki sertifikat Pelatihan BCKS</v>
      </c>
      <c r="L102" s="10" t="str">
        <f t="shared" si="7"/>
        <v>Aktif Periode 1</v>
      </c>
      <c r="M102" s="2"/>
      <c r="N102" s="2"/>
    </row>
    <row r="103" spans="1:14" ht="75" customHeight="1" x14ac:dyDescent="0.35">
      <c r="A103" s="4" t="s">
        <v>361</v>
      </c>
      <c r="B103" s="5" t="s">
        <v>113</v>
      </c>
      <c r="C103" s="6" t="s">
        <v>8</v>
      </c>
      <c r="D103" s="7" t="s">
        <v>9</v>
      </c>
      <c r="E103" s="8" t="s">
        <v>609</v>
      </c>
      <c r="F103" s="7" t="s">
        <v>757</v>
      </c>
      <c r="G103" s="9">
        <v>2024</v>
      </c>
      <c r="H103" s="9">
        <f t="shared" si="4"/>
        <v>2</v>
      </c>
      <c r="I103" s="7" t="s">
        <v>762</v>
      </c>
      <c r="J103" s="10" t="str">
        <f t="shared" si="5"/>
        <v>Periode 1</v>
      </c>
      <c r="K103" s="11" t="str">
        <f t="shared" si="6"/>
        <v>Aman Tanpa Masalah</v>
      </c>
      <c r="L103" s="10" t="str">
        <f t="shared" si="7"/>
        <v>Aktif Periode 1</v>
      </c>
      <c r="M103" s="2"/>
      <c r="N103" s="2"/>
    </row>
    <row r="104" spans="1:14" ht="75" customHeight="1" x14ac:dyDescent="0.35">
      <c r="A104" s="4" t="s">
        <v>362</v>
      </c>
      <c r="B104" s="5" t="s">
        <v>114</v>
      </c>
      <c r="C104" s="6" t="s">
        <v>8</v>
      </c>
      <c r="D104" s="7" t="s">
        <v>9</v>
      </c>
      <c r="E104" s="8" t="s">
        <v>610</v>
      </c>
      <c r="F104" s="7" t="s">
        <v>757</v>
      </c>
      <c r="G104" s="9">
        <v>2024</v>
      </c>
      <c r="H104" s="9">
        <f t="shared" si="4"/>
        <v>2</v>
      </c>
      <c r="I104" s="7" t="s">
        <v>762</v>
      </c>
      <c r="J104" s="10" t="str">
        <f t="shared" si="5"/>
        <v>Periode 1</v>
      </c>
      <c r="K104" s="11" t="str">
        <f t="shared" si="6"/>
        <v>Aman Tanpa Masalah</v>
      </c>
      <c r="L104" s="10" t="str">
        <f t="shared" si="7"/>
        <v>Aktif Periode 1</v>
      </c>
      <c r="M104" s="2"/>
      <c r="N104" s="2"/>
    </row>
    <row r="105" spans="1:14" ht="75" customHeight="1" x14ac:dyDescent="0.35">
      <c r="A105" s="4" t="s">
        <v>363</v>
      </c>
      <c r="B105" s="5" t="s">
        <v>115</v>
      </c>
      <c r="C105" s="6" t="s">
        <v>8</v>
      </c>
      <c r="D105" s="7" t="s">
        <v>9</v>
      </c>
      <c r="E105" s="8" t="s">
        <v>611</v>
      </c>
      <c r="F105" s="7" t="s">
        <v>758</v>
      </c>
      <c r="G105" s="9">
        <v>2024</v>
      </c>
      <c r="H105" s="9">
        <f t="shared" si="4"/>
        <v>2</v>
      </c>
      <c r="I105" s="7" t="s">
        <v>762</v>
      </c>
      <c r="J105" s="10" t="str">
        <f t="shared" si="5"/>
        <v>Periode 1</v>
      </c>
      <c r="K105" s="11" t="str">
        <f t="shared" si="6"/>
        <v>Berdasarkan Permendikdasmen Nomor 7 Tahun 2025 karena:
Pasal 32. Belum memiliki sertifikat Pelatihan BCKS</v>
      </c>
      <c r="L105" s="10" t="str">
        <f t="shared" si="7"/>
        <v>Aktif Periode 1</v>
      </c>
      <c r="M105" s="2"/>
      <c r="N105" s="2"/>
    </row>
    <row r="106" spans="1:14" ht="75" customHeight="1" x14ac:dyDescent="0.35">
      <c r="A106" s="4" t="s">
        <v>364</v>
      </c>
      <c r="B106" s="5" t="s">
        <v>116</v>
      </c>
      <c r="C106" s="6" t="s">
        <v>8</v>
      </c>
      <c r="D106" s="7" t="s">
        <v>11</v>
      </c>
      <c r="E106" s="8" t="s">
        <v>612</v>
      </c>
      <c r="F106" s="7" t="s">
        <v>758</v>
      </c>
      <c r="G106" s="9">
        <v>2024</v>
      </c>
      <c r="H106" s="9">
        <f t="shared" si="4"/>
        <v>2</v>
      </c>
      <c r="I106" s="7" t="s">
        <v>762</v>
      </c>
      <c r="J106" s="10" t="str">
        <f t="shared" si="5"/>
        <v>Periode 1</v>
      </c>
      <c r="K106" s="11" t="str">
        <f t="shared" si="6"/>
        <v>Berdasarkan Permendikdasmen Nomor 7 Tahun 2025 karena:
Pasal 32. Belum memiliki sertifikat Pelatihan BCKS</v>
      </c>
      <c r="L106" s="10" t="str">
        <f t="shared" si="7"/>
        <v>Aktif Periode 1</v>
      </c>
      <c r="M106" s="2"/>
      <c r="N106" s="2"/>
    </row>
    <row r="107" spans="1:14" ht="75" customHeight="1" x14ac:dyDescent="0.35">
      <c r="A107" s="4" t="s">
        <v>365</v>
      </c>
      <c r="B107" s="5" t="s">
        <v>117</v>
      </c>
      <c r="C107" s="6" t="s">
        <v>8</v>
      </c>
      <c r="D107" s="7" t="s">
        <v>9</v>
      </c>
      <c r="E107" s="8" t="s">
        <v>613</v>
      </c>
      <c r="F107" s="7" t="s">
        <v>758</v>
      </c>
      <c r="G107" s="9">
        <v>2024</v>
      </c>
      <c r="H107" s="9">
        <f t="shared" si="4"/>
        <v>2</v>
      </c>
      <c r="I107" s="7" t="s">
        <v>762</v>
      </c>
      <c r="J107" s="10" t="str">
        <f t="shared" si="5"/>
        <v>Periode 1</v>
      </c>
      <c r="K107" s="11" t="str">
        <f t="shared" si="6"/>
        <v>Berdasarkan Permendikdasmen Nomor 7 Tahun 2025 karena:
Pasal 32. Belum memiliki sertifikat Pelatihan BCKS</v>
      </c>
      <c r="L107" s="10" t="str">
        <f t="shared" si="7"/>
        <v>Aktif Periode 1</v>
      </c>
      <c r="M107" s="2"/>
      <c r="N107" s="2"/>
    </row>
    <row r="108" spans="1:14" ht="75" customHeight="1" x14ac:dyDescent="0.35">
      <c r="A108" s="4" t="s">
        <v>366</v>
      </c>
      <c r="B108" s="5" t="s">
        <v>118</v>
      </c>
      <c r="C108" s="6" t="s">
        <v>8</v>
      </c>
      <c r="D108" s="7" t="s">
        <v>10</v>
      </c>
      <c r="E108" s="8" t="s">
        <v>614</v>
      </c>
      <c r="F108" s="7" t="s">
        <v>757</v>
      </c>
      <c r="G108" s="9">
        <v>2024</v>
      </c>
      <c r="H108" s="9">
        <f t="shared" si="4"/>
        <v>2</v>
      </c>
      <c r="I108" s="7" t="s">
        <v>762</v>
      </c>
      <c r="J108" s="10" t="str">
        <f t="shared" si="5"/>
        <v>Periode 1</v>
      </c>
      <c r="K108" s="11" t="str">
        <f t="shared" si="6"/>
        <v>Aman Tanpa Masalah</v>
      </c>
      <c r="L108" s="10" t="str">
        <f t="shared" si="7"/>
        <v>Aktif Periode 1</v>
      </c>
      <c r="M108" s="2"/>
      <c r="N108" s="2"/>
    </row>
    <row r="109" spans="1:14" ht="75" customHeight="1" x14ac:dyDescent="0.35">
      <c r="A109" s="4" t="s">
        <v>367</v>
      </c>
      <c r="B109" s="5" t="s">
        <v>119</v>
      </c>
      <c r="C109" s="6" t="s">
        <v>8</v>
      </c>
      <c r="D109" s="7" t="s">
        <v>10</v>
      </c>
      <c r="E109" s="8" t="s">
        <v>615</v>
      </c>
      <c r="F109" s="7" t="s">
        <v>758</v>
      </c>
      <c r="G109" s="9">
        <v>2024</v>
      </c>
      <c r="H109" s="9">
        <f t="shared" si="4"/>
        <v>2</v>
      </c>
      <c r="I109" s="7" t="s">
        <v>762</v>
      </c>
      <c r="J109" s="10" t="str">
        <f t="shared" si="5"/>
        <v>Periode 1</v>
      </c>
      <c r="K109" s="11" t="str">
        <f t="shared" si="6"/>
        <v>Berdasarkan Permendikdasmen Nomor 7 Tahun 2025 karena:
Pasal 32. Belum memiliki sertifikat Pelatihan BCKS</v>
      </c>
      <c r="L109" s="10" t="str">
        <f t="shared" si="7"/>
        <v>Aktif Periode 1</v>
      </c>
      <c r="M109" s="2"/>
      <c r="N109" s="2"/>
    </row>
    <row r="110" spans="1:14" ht="75" customHeight="1" x14ac:dyDescent="0.35">
      <c r="A110" s="4" t="s">
        <v>368</v>
      </c>
      <c r="B110" s="5" t="s">
        <v>120</v>
      </c>
      <c r="C110" s="6" t="s">
        <v>8</v>
      </c>
      <c r="D110" s="7" t="s">
        <v>10</v>
      </c>
      <c r="E110" s="8" t="s">
        <v>616</v>
      </c>
      <c r="F110" s="7" t="s">
        <v>758</v>
      </c>
      <c r="G110" s="9">
        <v>2024</v>
      </c>
      <c r="H110" s="9">
        <f t="shared" si="4"/>
        <v>2</v>
      </c>
      <c r="I110" s="7" t="s">
        <v>762</v>
      </c>
      <c r="J110" s="10" t="str">
        <f t="shared" si="5"/>
        <v>Periode 1</v>
      </c>
      <c r="K110" s="11" t="str">
        <f t="shared" si="6"/>
        <v>Berdasarkan Permendikdasmen Nomor 7 Tahun 2025 karena:
Pasal 32. Belum memiliki sertifikat Pelatihan BCKS</v>
      </c>
      <c r="L110" s="10" t="str">
        <f t="shared" si="7"/>
        <v>Aktif Periode 1</v>
      </c>
      <c r="M110" s="2"/>
      <c r="N110" s="2"/>
    </row>
    <row r="111" spans="1:14" ht="75" customHeight="1" x14ac:dyDescent="0.35">
      <c r="A111" s="4" t="s">
        <v>369</v>
      </c>
      <c r="B111" s="5" t="s">
        <v>121</v>
      </c>
      <c r="C111" s="6" t="s">
        <v>8</v>
      </c>
      <c r="D111" s="7" t="s">
        <v>9</v>
      </c>
      <c r="E111" s="8" t="s">
        <v>617</v>
      </c>
      <c r="F111" s="7" t="s">
        <v>758</v>
      </c>
      <c r="G111" s="9">
        <v>2024</v>
      </c>
      <c r="H111" s="9">
        <f t="shared" si="4"/>
        <v>2</v>
      </c>
      <c r="I111" s="7" t="s">
        <v>762</v>
      </c>
      <c r="J111" s="10" t="str">
        <f t="shared" si="5"/>
        <v>Periode 1</v>
      </c>
      <c r="K111" s="11" t="str">
        <f t="shared" si="6"/>
        <v>Berdasarkan Permendikdasmen Nomor 7 Tahun 2025 karena:
Pasal 32. Belum memiliki sertifikat Pelatihan BCKS</v>
      </c>
      <c r="L111" s="10" t="str">
        <f t="shared" si="7"/>
        <v>Aktif Periode 1</v>
      </c>
      <c r="M111" s="2"/>
      <c r="N111" s="2"/>
    </row>
    <row r="112" spans="1:14" ht="75" customHeight="1" x14ac:dyDescent="0.35">
      <c r="A112" s="4" t="s">
        <v>370</v>
      </c>
      <c r="B112" s="5" t="s">
        <v>122</v>
      </c>
      <c r="C112" s="6" t="s">
        <v>8</v>
      </c>
      <c r="D112" s="7" t="s">
        <v>9</v>
      </c>
      <c r="E112" s="8" t="s">
        <v>618</v>
      </c>
      <c r="F112" s="7" t="s">
        <v>757</v>
      </c>
      <c r="G112" s="9">
        <v>2024</v>
      </c>
      <c r="H112" s="9">
        <f t="shared" si="4"/>
        <v>2</v>
      </c>
      <c r="I112" s="7" t="s">
        <v>762</v>
      </c>
      <c r="J112" s="10" t="str">
        <f t="shared" si="5"/>
        <v>Periode 1</v>
      </c>
      <c r="K112" s="11" t="str">
        <f t="shared" si="6"/>
        <v>Aman Tanpa Masalah</v>
      </c>
      <c r="L112" s="10" t="str">
        <f t="shared" si="7"/>
        <v>Aktif Periode 1</v>
      </c>
      <c r="M112" s="2"/>
      <c r="N112" s="2"/>
    </row>
    <row r="113" spans="1:14" ht="75" customHeight="1" x14ac:dyDescent="0.35">
      <c r="A113" s="4" t="s">
        <v>371</v>
      </c>
      <c r="B113" s="5" t="s">
        <v>123</v>
      </c>
      <c r="C113" s="6" t="s">
        <v>8</v>
      </c>
      <c r="D113" s="7" t="s">
        <v>9</v>
      </c>
      <c r="E113" s="8" t="s">
        <v>619</v>
      </c>
      <c r="F113" s="7" t="s">
        <v>758</v>
      </c>
      <c r="G113" s="9">
        <v>2024</v>
      </c>
      <c r="H113" s="9">
        <f t="shared" si="4"/>
        <v>2</v>
      </c>
      <c r="I113" s="7" t="s">
        <v>762</v>
      </c>
      <c r="J113" s="10" t="str">
        <f t="shared" si="5"/>
        <v>Periode 1</v>
      </c>
      <c r="K113" s="11" t="str">
        <f t="shared" si="6"/>
        <v>Berdasarkan Permendikdasmen Nomor 7 Tahun 2025 karena:
Pasal 32. Belum memiliki sertifikat Pelatihan BCKS</v>
      </c>
      <c r="L113" s="10" t="str">
        <f t="shared" si="7"/>
        <v>Aktif Periode 1</v>
      </c>
      <c r="M113" s="2"/>
      <c r="N113" s="2"/>
    </row>
    <row r="114" spans="1:14" ht="75" customHeight="1" x14ac:dyDescent="0.35">
      <c r="A114" s="4" t="s">
        <v>372</v>
      </c>
      <c r="B114" s="5" t="s">
        <v>124</v>
      </c>
      <c r="C114" s="6" t="s">
        <v>8</v>
      </c>
      <c r="D114" s="7" t="s">
        <v>9</v>
      </c>
      <c r="E114" s="8" t="s">
        <v>620</v>
      </c>
      <c r="F114" s="7" t="s">
        <v>758</v>
      </c>
      <c r="G114" s="9">
        <v>2024</v>
      </c>
      <c r="H114" s="9">
        <f t="shared" si="4"/>
        <v>2</v>
      </c>
      <c r="I114" s="7" t="s">
        <v>762</v>
      </c>
      <c r="J114" s="10" t="str">
        <f t="shared" si="5"/>
        <v>Periode 1</v>
      </c>
      <c r="K114" s="11" t="str">
        <f t="shared" si="6"/>
        <v>Berdasarkan Permendikdasmen Nomor 7 Tahun 2025 karena:
Pasal 32. Belum memiliki sertifikat Pelatihan BCKS</v>
      </c>
      <c r="L114" s="10" t="str">
        <f t="shared" si="7"/>
        <v>Aktif Periode 1</v>
      </c>
      <c r="M114" s="2"/>
      <c r="N114" s="2"/>
    </row>
    <row r="115" spans="1:14" ht="75" customHeight="1" x14ac:dyDescent="0.35">
      <c r="A115" s="4" t="s">
        <v>373</v>
      </c>
      <c r="B115" s="5" t="s">
        <v>125</v>
      </c>
      <c r="C115" s="6" t="s">
        <v>8</v>
      </c>
      <c r="D115" s="7" t="s">
        <v>9</v>
      </c>
      <c r="E115" s="8" t="s">
        <v>621</v>
      </c>
      <c r="F115" s="7" t="s">
        <v>758</v>
      </c>
      <c r="G115" s="9">
        <v>2024</v>
      </c>
      <c r="H115" s="9">
        <f t="shared" si="4"/>
        <v>2</v>
      </c>
      <c r="I115" s="7" t="s">
        <v>762</v>
      </c>
      <c r="J115" s="10" t="str">
        <f t="shared" si="5"/>
        <v>Periode 1</v>
      </c>
      <c r="K115" s="11" t="str">
        <f t="shared" si="6"/>
        <v>Berdasarkan Permendikdasmen Nomor 7 Tahun 2025 karena:
Pasal 32. Belum memiliki sertifikat Pelatihan BCKS</v>
      </c>
      <c r="L115" s="10" t="str">
        <f t="shared" si="7"/>
        <v>Aktif Periode 1</v>
      </c>
      <c r="M115" s="2"/>
      <c r="N115" s="2"/>
    </row>
    <row r="116" spans="1:14" ht="75" customHeight="1" x14ac:dyDescent="0.35">
      <c r="A116" s="4" t="s">
        <v>374</v>
      </c>
      <c r="B116" s="5" t="s">
        <v>126</v>
      </c>
      <c r="C116" s="6" t="s">
        <v>8</v>
      </c>
      <c r="D116" s="7" t="s">
        <v>10</v>
      </c>
      <c r="E116" s="8" t="s">
        <v>622</v>
      </c>
      <c r="F116" s="7" t="s">
        <v>757</v>
      </c>
      <c r="G116" s="9">
        <v>2024</v>
      </c>
      <c r="H116" s="9">
        <f t="shared" si="4"/>
        <v>2</v>
      </c>
      <c r="I116" s="7" t="s">
        <v>762</v>
      </c>
      <c r="J116" s="10" t="str">
        <f t="shared" si="5"/>
        <v>Periode 1</v>
      </c>
      <c r="K116" s="11" t="str">
        <f t="shared" si="6"/>
        <v>Aman Tanpa Masalah</v>
      </c>
      <c r="L116" s="10" t="str">
        <f t="shared" si="7"/>
        <v>Aktif Periode 1</v>
      </c>
      <c r="M116" s="2"/>
      <c r="N116" s="2"/>
    </row>
    <row r="117" spans="1:14" ht="75" customHeight="1" x14ac:dyDescent="0.35">
      <c r="A117" s="4" t="s">
        <v>375</v>
      </c>
      <c r="B117" s="5" t="s">
        <v>127</v>
      </c>
      <c r="C117" s="6" t="s">
        <v>8</v>
      </c>
      <c r="D117" s="7" t="s">
        <v>10</v>
      </c>
      <c r="E117" s="8" t="s">
        <v>623</v>
      </c>
      <c r="F117" s="7" t="s">
        <v>758</v>
      </c>
      <c r="G117" s="9">
        <v>2024</v>
      </c>
      <c r="H117" s="9">
        <f t="shared" si="4"/>
        <v>2</v>
      </c>
      <c r="I117" s="7" t="s">
        <v>762</v>
      </c>
      <c r="J117" s="10" t="str">
        <f t="shared" si="5"/>
        <v>Periode 1</v>
      </c>
      <c r="K117" s="11" t="str">
        <f t="shared" si="6"/>
        <v>Berdasarkan Permendikdasmen Nomor 7 Tahun 2025 karena:
Pasal 32. Belum memiliki sertifikat Pelatihan BCKS</v>
      </c>
      <c r="L117" s="10" t="str">
        <f t="shared" si="7"/>
        <v>Aktif Periode 1</v>
      </c>
      <c r="M117" s="2"/>
      <c r="N117" s="2"/>
    </row>
    <row r="118" spans="1:14" ht="75" customHeight="1" x14ac:dyDescent="0.35">
      <c r="A118" s="4" t="s">
        <v>376</v>
      </c>
      <c r="B118" s="5" t="s">
        <v>128</v>
      </c>
      <c r="C118" s="6" t="s">
        <v>8</v>
      </c>
      <c r="D118" s="7" t="s">
        <v>9</v>
      </c>
      <c r="E118" s="8" t="s">
        <v>624</v>
      </c>
      <c r="F118" s="7" t="s">
        <v>758</v>
      </c>
      <c r="G118" s="9">
        <v>2024</v>
      </c>
      <c r="H118" s="9">
        <f t="shared" si="4"/>
        <v>2</v>
      </c>
      <c r="I118" s="7" t="s">
        <v>762</v>
      </c>
      <c r="J118" s="10" t="str">
        <f t="shared" si="5"/>
        <v>Periode 1</v>
      </c>
      <c r="K118" s="11" t="str">
        <f t="shared" si="6"/>
        <v>Berdasarkan Permendikdasmen Nomor 7 Tahun 2025 karena:
Pasal 32. Belum memiliki sertifikat Pelatihan BCKS</v>
      </c>
      <c r="L118" s="10" t="str">
        <f t="shared" si="7"/>
        <v>Aktif Periode 1</v>
      </c>
      <c r="M118" s="2"/>
      <c r="N118" s="2"/>
    </row>
    <row r="119" spans="1:14" ht="75" customHeight="1" x14ac:dyDescent="0.35">
      <c r="A119" s="4" t="s">
        <v>377</v>
      </c>
      <c r="B119" s="5" t="s">
        <v>129</v>
      </c>
      <c r="C119" s="6" t="s">
        <v>8</v>
      </c>
      <c r="D119" s="7" t="s">
        <v>9</v>
      </c>
      <c r="E119" s="8" t="s">
        <v>625</v>
      </c>
      <c r="F119" s="7" t="s">
        <v>758</v>
      </c>
      <c r="G119" s="9">
        <v>2024</v>
      </c>
      <c r="H119" s="9">
        <f t="shared" si="4"/>
        <v>2</v>
      </c>
      <c r="I119" s="7" t="s">
        <v>762</v>
      </c>
      <c r="J119" s="10" t="str">
        <f t="shared" si="5"/>
        <v>Periode 1</v>
      </c>
      <c r="K119" s="11" t="str">
        <f t="shared" si="6"/>
        <v>Berdasarkan Permendikdasmen Nomor 7 Tahun 2025 karena:
Pasal 32. Belum memiliki sertifikat Pelatihan BCKS</v>
      </c>
      <c r="L119" s="10" t="str">
        <f t="shared" si="7"/>
        <v>Aktif Periode 1</v>
      </c>
      <c r="M119" s="2"/>
      <c r="N119" s="2"/>
    </row>
    <row r="120" spans="1:14" ht="75" customHeight="1" x14ac:dyDescent="0.35">
      <c r="A120" s="4" t="s">
        <v>378</v>
      </c>
      <c r="B120" s="5" t="s">
        <v>130</v>
      </c>
      <c r="C120" s="6" t="s">
        <v>8</v>
      </c>
      <c r="D120" s="7" t="s">
        <v>9</v>
      </c>
      <c r="E120" s="8" t="s">
        <v>626</v>
      </c>
      <c r="F120" s="7" t="s">
        <v>757</v>
      </c>
      <c r="G120" s="9">
        <v>2024</v>
      </c>
      <c r="H120" s="9">
        <f t="shared" si="4"/>
        <v>2</v>
      </c>
      <c r="I120" s="7" t="s">
        <v>762</v>
      </c>
      <c r="J120" s="10" t="str">
        <f t="shared" si="5"/>
        <v>Periode 1</v>
      </c>
      <c r="K120" s="11" t="str">
        <f t="shared" si="6"/>
        <v>Aman Tanpa Masalah</v>
      </c>
      <c r="L120" s="10" t="str">
        <f t="shared" si="7"/>
        <v>Aktif Periode 1</v>
      </c>
      <c r="M120" s="2"/>
      <c r="N120" s="2"/>
    </row>
    <row r="121" spans="1:14" ht="75" customHeight="1" x14ac:dyDescent="0.35">
      <c r="A121" s="4" t="s">
        <v>379</v>
      </c>
      <c r="B121" s="5" t="s">
        <v>131</v>
      </c>
      <c r="C121" s="6" t="s">
        <v>8</v>
      </c>
      <c r="D121" s="7" t="s">
        <v>9</v>
      </c>
      <c r="E121" s="8" t="s">
        <v>627</v>
      </c>
      <c r="F121" s="7" t="s">
        <v>758</v>
      </c>
      <c r="G121" s="9">
        <v>2024</v>
      </c>
      <c r="H121" s="9">
        <f t="shared" si="4"/>
        <v>2</v>
      </c>
      <c r="I121" s="7" t="s">
        <v>762</v>
      </c>
      <c r="J121" s="10" t="str">
        <f t="shared" si="5"/>
        <v>Periode 1</v>
      </c>
      <c r="K121" s="11" t="str">
        <f t="shared" si="6"/>
        <v>Berdasarkan Permendikdasmen Nomor 7 Tahun 2025 karena:
Pasal 32. Belum memiliki sertifikat Pelatihan BCKS</v>
      </c>
      <c r="L121" s="10" t="str">
        <f t="shared" si="7"/>
        <v>Aktif Periode 1</v>
      </c>
      <c r="M121" s="2"/>
      <c r="N121" s="2"/>
    </row>
    <row r="122" spans="1:14" ht="75" customHeight="1" x14ac:dyDescent="0.35">
      <c r="A122" s="4" t="s">
        <v>380</v>
      </c>
      <c r="B122" s="5" t="s">
        <v>132</v>
      </c>
      <c r="C122" s="6" t="s">
        <v>8</v>
      </c>
      <c r="D122" s="7" t="s">
        <v>9</v>
      </c>
      <c r="E122" s="8" t="s">
        <v>628</v>
      </c>
      <c r="F122" s="7" t="s">
        <v>758</v>
      </c>
      <c r="G122" s="9">
        <v>2024</v>
      </c>
      <c r="H122" s="9">
        <f t="shared" si="4"/>
        <v>2</v>
      </c>
      <c r="I122" s="7" t="s">
        <v>762</v>
      </c>
      <c r="J122" s="10" t="str">
        <f t="shared" si="5"/>
        <v>Periode 1</v>
      </c>
      <c r="K122" s="11" t="str">
        <f t="shared" si="6"/>
        <v>Berdasarkan Permendikdasmen Nomor 7 Tahun 2025 karena:
Pasal 32. Belum memiliki sertifikat Pelatihan BCKS</v>
      </c>
      <c r="L122" s="10" t="str">
        <f t="shared" si="7"/>
        <v>Aktif Periode 1</v>
      </c>
      <c r="M122" s="2"/>
      <c r="N122" s="2"/>
    </row>
    <row r="123" spans="1:14" ht="75" customHeight="1" x14ac:dyDescent="0.35">
      <c r="A123" s="4" t="s">
        <v>381</v>
      </c>
      <c r="B123" s="5" t="s">
        <v>133</v>
      </c>
      <c r="C123" s="6" t="s">
        <v>8</v>
      </c>
      <c r="D123" s="7" t="s">
        <v>10</v>
      </c>
      <c r="E123" s="8" t="s">
        <v>629</v>
      </c>
      <c r="F123" s="7" t="s">
        <v>758</v>
      </c>
      <c r="G123" s="9">
        <v>2024</v>
      </c>
      <c r="H123" s="9">
        <f t="shared" si="4"/>
        <v>2</v>
      </c>
      <c r="I123" s="7" t="s">
        <v>762</v>
      </c>
      <c r="J123" s="10" t="str">
        <f t="shared" si="5"/>
        <v>Periode 1</v>
      </c>
      <c r="K123" s="11" t="str">
        <f t="shared" si="6"/>
        <v>Berdasarkan Permendikdasmen Nomor 7 Tahun 2025 karena:
Pasal 32. Belum memiliki sertifikat Pelatihan BCKS</v>
      </c>
      <c r="L123" s="10" t="str">
        <f t="shared" si="7"/>
        <v>Aktif Periode 1</v>
      </c>
      <c r="M123" s="2"/>
      <c r="N123" s="2"/>
    </row>
    <row r="124" spans="1:14" ht="75" customHeight="1" x14ac:dyDescent="0.35">
      <c r="A124" s="4" t="s">
        <v>382</v>
      </c>
      <c r="B124" s="5" t="s">
        <v>134</v>
      </c>
      <c r="C124" s="6" t="s">
        <v>8</v>
      </c>
      <c r="D124" s="7" t="s">
        <v>9</v>
      </c>
      <c r="E124" s="8" t="s">
        <v>630</v>
      </c>
      <c r="F124" s="7" t="s">
        <v>757</v>
      </c>
      <c r="G124" s="9">
        <v>2024</v>
      </c>
      <c r="H124" s="9">
        <f t="shared" si="4"/>
        <v>2</v>
      </c>
      <c r="I124" s="7" t="s">
        <v>762</v>
      </c>
      <c r="J124" s="10" t="str">
        <f t="shared" si="5"/>
        <v>Periode 1</v>
      </c>
      <c r="K124" s="11" t="str">
        <f t="shared" si="6"/>
        <v>Aman Tanpa Masalah</v>
      </c>
      <c r="L124" s="10" t="str">
        <f t="shared" si="7"/>
        <v>Aktif Periode 1</v>
      </c>
      <c r="M124" s="2"/>
      <c r="N124" s="2"/>
    </row>
    <row r="125" spans="1:14" ht="75" customHeight="1" x14ac:dyDescent="0.35">
      <c r="A125" s="4" t="s">
        <v>383</v>
      </c>
      <c r="B125" s="5" t="s">
        <v>135</v>
      </c>
      <c r="C125" s="6" t="s">
        <v>8</v>
      </c>
      <c r="D125" s="7" t="s">
        <v>9</v>
      </c>
      <c r="E125" s="8" t="s">
        <v>631</v>
      </c>
      <c r="F125" s="7" t="s">
        <v>758</v>
      </c>
      <c r="G125" s="9">
        <v>2024</v>
      </c>
      <c r="H125" s="9">
        <f t="shared" si="4"/>
        <v>2</v>
      </c>
      <c r="I125" s="7" t="s">
        <v>762</v>
      </c>
      <c r="J125" s="10" t="str">
        <f t="shared" si="5"/>
        <v>Periode 1</v>
      </c>
      <c r="K125" s="11" t="str">
        <f t="shared" si="6"/>
        <v>Berdasarkan Permendikdasmen Nomor 7 Tahun 2025 karena:
Pasal 32. Belum memiliki sertifikat Pelatihan BCKS</v>
      </c>
      <c r="L125" s="10" t="str">
        <f t="shared" si="7"/>
        <v>Aktif Periode 1</v>
      </c>
      <c r="M125" s="2"/>
      <c r="N125" s="2"/>
    </row>
    <row r="126" spans="1:14" ht="75" customHeight="1" x14ac:dyDescent="0.35">
      <c r="A126" s="4" t="s">
        <v>384</v>
      </c>
      <c r="B126" s="5" t="s">
        <v>136</v>
      </c>
      <c r="C126" s="6" t="s">
        <v>8</v>
      </c>
      <c r="D126" s="7" t="s">
        <v>9</v>
      </c>
      <c r="E126" s="8" t="s">
        <v>632</v>
      </c>
      <c r="F126" s="7" t="s">
        <v>758</v>
      </c>
      <c r="G126" s="9">
        <v>2024</v>
      </c>
      <c r="H126" s="9">
        <f t="shared" si="4"/>
        <v>2</v>
      </c>
      <c r="I126" s="7" t="s">
        <v>762</v>
      </c>
      <c r="J126" s="10" t="str">
        <f t="shared" si="5"/>
        <v>Periode 1</v>
      </c>
      <c r="K126" s="11" t="str">
        <f t="shared" si="6"/>
        <v>Berdasarkan Permendikdasmen Nomor 7 Tahun 2025 karena:
Pasal 32. Belum memiliki sertifikat Pelatihan BCKS</v>
      </c>
      <c r="L126" s="10" t="str">
        <f t="shared" si="7"/>
        <v>Aktif Periode 1</v>
      </c>
      <c r="M126" s="2"/>
      <c r="N126" s="2"/>
    </row>
    <row r="127" spans="1:14" ht="75" customHeight="1" x14ac:dyDescent="0.35">
      <c r="A127" s="4" t="s">
        <v>385</v>
      </c>
      <c r="B127" s="5" t="s">
        <v>137</v>
      </c>
      <c r="C127" s="6" t="s">
        <v>8</v>
      </c>
      <c r="D127" s="7" t="s">
        <v>10</v>
      </c>
      <c r="E127" s="8" t="s">
        <v>633</v>
      </c>
      <c r="F127" s="7" t="s">
        <v>758</v>
      </c>
      <c r="G127" s="9">
        <v>2024</v>
      </c>
      <c r="H127" s="9">
        <f t="shared" si="4"/>
        <v>2</v>
      </c>
      <c r="I127" s="7" t="s">
        <v>762</v>
      </c>
      <c r="J127" s="10" t="str">
        <f t="shared" si="5"/>
        <v>Periode 1</v>
      </c>
      <c r="K127" s="11" t="str">
        <f t="shared" si="6"/>
        <v>Berdasarkan Permendikdasmen Nomor 7 Tahun 2025 karena:
Pasal 32. Belum memiliki sertifikat Pelatihan BCKS</v>
      </c>
      <c r="L127" s="10" t="str">
        <f t="shared" si="7"/>
        <v>Aktif Periode 1</v>
      </c>
      <c r="M127" s="2"/>
      <c r="N127" s="2"/>
    </row>
    <row r="128" spans="1:14" ht="75" customHeight="1" x14ac:dyDescent="0.35">
      <c r="A128" s="4" t="s">
        <v>386</v>
      </c>
      <c r="B128" s="5" t="s">
        <v>138</v>
      </c>
      <c r="C128" s="6" t="s">
        <v>8</v>
      </c>
      <c r="D128" s="7" t="s">
        <v>9</v>
      </c>
      <c r="E128" s="8" t="s">
        <v>634</v>
      </c>
      <c r="F128" s="7" t="s">
        <v>757</v>
      </c>
      <c r="G128" s="9">
        <v>2024</v>
      </c>
      <c r="H128" s="9">
        <f t="shared" si="4"/>
        <v>2</v>
      </c>
      <c r="I128" s="7" t="s">
        <v>762</v>
      </c>
      <c r="J128" s="10" t="str">
        <f t="shared" si="5"/>
        <v>Periode 1</v>
      </c>
      <c r="K128" s="11" t="str">
        <f t="shared" si="6"/>
        <v>Aman Tanpa Masalah</v>
      </c>
      <c r="L128" s="10" t="str">
        <f t="shared" si="7"/>
        <v>Aktif Periode 1</v>
      </c>
      <c r="M128" s="2"/>
      <c r="N128" s="2"/>
    </row>
    <row r="129" spans="1:14" ht="75" customHeight="1" x14ac:dyDescent="0.35">
      <c r="A129" s="4" t="s">
        <v>387</v>
      </c>
      <c r="B129" s="5" t="s">
        <v>139</v>
      </c>
      <c r="C129" s="6" t="s">
        <v>8</v>
      </c>
      <c r="D129" s="7" t="s">
        <v>9</v>
      </c>
      <c r="E129" s="8" t="s">
        <v>635</v>
      </c>
      <c r="F129" s="7" t="s">
        <v>758</v>
      </c>
      <c r="G129" s="9">
        <v>2024</v>
      </c>
      <c r="H129" s="9">
        <f t="shared" si="4"/>
        <v>2</v>
      </c>
      <c r="I129" s="7" t="s">
        <v>762</v>
      </c>
      <c r="J129" s="10" t="str">
        <f t="shared" si="5"/>
        <v>Periode 1</v>
      </c>
      <c r="K129" s="11" t="str">
        <f t="shared" si="6"/>
        <v>Berdasarkan Permendikdasmen Nomor 7 Tahun 2025 karena:
Pasal 32. Belum memiliki sertifikat Pelatihan BCKS</v>
      </c>
      <c r="L129" s="10" t="str">
        <f t="shared" si="7"/>
        <v>Aktif Periode 1</v>
      </c>
      <c r="M129" s="2"/>
      <c r="N129" s="2"/>
    </row>
    <row r="130" spans="1:14" ht="75" customHeight="1" x14ac:dyDescent="0.35">
      <c r="A130" s="4" t="s">
        <v>388</v>
      </c>
      <c r="B130" s="5" t="s">
        <v>140</v>
      </c>
      <c r="C130" s="6" t="s">
        <v>8</v>
      </c>
      <c r="D130" s="7" t="s">
        <v>9</v>
      </c>
      <c r="E130" s="8" t="s">
        <v>636</v>
      </c>
      <c r="F130" s="7" t="s">
        <v>758</v>
      </c>
      <c r="G130" s="9">
        <v>2024</v>
      </c>
      <c r="H130" s="9">
        <f t="shared" ref="H130:H193" si="8">2026-G130</f>
        <v>2</v>
      </c>
      <c r="I130" s="7" t="s">
        <v>762</v>
      </c>
      <c r="J130" s="10" t="str">
        <f t="shared" si="5"/>
        <v>Periode 1</v>
      </c>
      <c r="K130" s="11" t="str">
        <f t="shared" si="6"/>
        <v>Berdasarkan Permendikdasmen Nomor 7 Tahun 2025 karena:
Pasal 32. Belum memiliki sertifikat Pelatihan BCKS</v>
      </c>
      <c r="L130" s="10" t="str">
        <f t="shared" si="7"/>
        <v>Aktif Periode 1</v>
      </c>
      <c r="M130" s="2"/>
      <c r="N130" s="2"/>
    </row>
    <row r="131" spans="1:14" ht="75" customHeight="1" x14ac:dyDescent="0.35">
      <c r="A131" s="4" t="s">
        <v>389</v>
      </c>
      <c r="B131" s="5" t="s">
        <v>141</v>
      </c>
      <c r="C131" s="6" t="s">
        <v>8</v>
      </c>
      <c r="D131" s="7" t="s">
        <v>9</v>
      </c>
      <c r="E131" s="8" t="s">
        <v>637</v>
      </c>
      <c r="F131" s="7" t="s">
        <v>758</v>
      </c>
      <c r="G131" s="9">
        <v>2024</v>
      </c>
      <c r="H131" s="9">
        <f t="shared" si="8"/>
        <v>2</v>
      </c>
      <c r="I131" s="7" t="s">
        <v>762</v>
      </c>
      <c r="J131" s="10" t="str">
        <f t="shared" ref="J131:J194" si="9">IF(I131="Plt",
"Masih Plt",
IF(H131&lt;4,
"Periode 1",
IF(H131&lt;=8,
"Periode 2",
"Lebih dari 2 Periode"
)))</f>
        <v>Periode 1</v>
      </c>
      <c r="K131" s="11" t="str">
        <f t="shared" ref="K131:K194" si="10">IF(I131="Plt",
"Pemberitahuan:"&amp;CHAR(10)&amp;
"Kepala Sekolah masih berstatus Pelaksana Tugas (Plt) dan belum ditetapkan sebagai Kepala Sekolah definitif.",
IF(AND(OR(J131="Periode 1",J131="Periode 2"),F131="Sudah"),
"Aman Tanpa Masalah",
IF(AND(OR(J131="Periode 1",J131="Periode 2"),F131="Belum"),
"Berdasarkan Permendikdasmen Nomor 7 Tahun 2025 karena:"&amp;CHAR(10)&amp;
"Pasal 32. Belum memiliki sertifikat Pelatihan BCKS",
IF(AND(J131="Lebih dari 2 Periode",F131="Belum"),
"Berdasarkan Permendikdasmen Nomor 7 Tahun 2025 karena:"&amp;CHAR(10)&amp;
"Pasal 31. Telah melewati batas periode penugasan"&amp;CHAR(10)&amp;
"Pasal 32. Belum memiliki sertifikat Pelatihan BCKS",
IF(J131="Lebih dari 2 Periode",
"Berdasarkan Permendikdasmen Nomor 7 Tahun 2025 karena:"&amp;CHAR(10)&amp;
"Pasal 31. Telah melewati batas periode penugasan",
""
)))))</f>
        <v>Berdasarkan Permendikdasmen Nomor 7 Tahun 2025 karena:
Pasal 32. Belum memiliki sertifikat Pelatihan BCKS</v>
      </c>
      <c r="L131" s="10" t="str">
        <f t="shared" ref="L131:L194" si="11">IF(J131="Masih Plt",
"Harap Segera Definitifkan",
IF(H131&lt;4,
"Aktif Periode 1",
IF(H131&lt;=8,
"Aktif Periode 2",
"Harus Diberhentikan"
)))</f>
        <v>Aktif Periode 1</v>
      </c>
      <c r="M131" s="2"/>
      <c r="N131" s="2"/>
    </row>
    <row r="132" spans="1:14" ht="75" customHeight="1" x14ac:dyDescent="0.35">
      <c r="A132" s="4" t="s">
        <v>390</v>
      </c>
      <c r="B132" s="5" t="s">
        <v>142</v>
      </c>
      <c r="C132" s="6" t="s">
        <v>8</v>
      </c>
      <c r="D132" s="7" t="s">
        <v>10</v>
      </c>
      <c r="E132" s="8" t="s">
        <v>638</v>
      </c>
      <c r="F132" s="7" t="s">
        <v>757</v>
      </c>
      <c r="G132" s="9">
        <v>2024</v>
      </c>
      <c r="H132" s="9">
        <f t="shared" si="8"/>
        <v>2</v>
      </c>
      <c r="I132" s="7" t="s">
        <v>762</v>
      </c>
      <c r="J132" s="10" t="str">
        <f t="shared" si="9"/>
        <v>Periode 1</v>
      </c>
      <c r="K132" s="11" t="str">
        <f t="shared" si="10"/>
        <v>Aman Tanpa Masalah</v>
      </c>
      <c r="L132" s="10" t="str">
        <f t="shared" si="11"/>
        <v>Aktif Periode 1</v>
      </c>
      <c r="M132" s="2"/>
      <c r="N132" s="2"/>
    </row>
    <row r="133" spans="1:14" ht="75" customHeight="1" x14ac:dyDescent="0.35">
      <c r="A133" s="4" t="s">
        <v>391</v>
      </c>
      <c r="B133" s="5" t="s">
        <v>143</v>
      </c>
      <c r="C133" s="6" t="s">
        <v>8</v>
      </c>
      <c r="D133" s="7" t="s">
        <v>9</v>
      </c>
      <c r="E133" s="8" t="s">
        <v>639</v>
      </c>
      <c r="F133" s="7" t="s">
        <v>758</v>
      </c>
      <c r="G133" s="9">
        <v>2024</v>
      </c>
      <c r="H133" s="9">
        <f t="shared" si="8"/>
        <v>2</v>
      </c>
      <c r="I133" s="7" t="s">
        <v>762</v>
      </c>
      <c r="J133" s="10" t="str">
        <f t="shared" si="9"/>
        <v>Periode 1</v>
      </c>
      <c r="K133" s="11" t="str">
        <f t="shared" si="10"/>
        <v>Berdasarkan Permendikdasmen Nomor 7 Tahun 2025 karena:
Pasal 32. Belum memiliki sertifikat Pelatihan BCKS</v>
      </c>
      <c r="L133" s="10" t="str">
        <f t="shared" si="11"/>
        <v>Aktif Periode 1</v>
      </c>
      <c r="M133" s="2"/>
      <c r="N133" s="2"/>
    </row>
    <row r="134" spans="1:14" ht="75" customHeight="1" x14ac:dyDescent="0.35">
      <c r="A134" s="4" t="s">
        <v>392</v>
      </c>
      <c r="B134" s="5" t="s">
        <v>144</v>
      </c>
      <c r="C134" s="6" t="s">
        <v>8</v>
      </c>
      <c r="D134" s="7" t="s">
        <v>9</v>
      </c>
      <c r="E134" s="8" t="s">
        <v>640</v>
      </c>
      <c r="F134" s="7" t="s">
        <v>758</v>
      </c>
      <c r="G134" s="9">
        <v>2024</v>
      </c>
      <c r="H134" s="9">
        <f t="shared" si="8"/>
        <v>2</v>
      </c>
      <c r="I134" s="7" t="s">
        <v>762</v>
      </c>
      <c r="J134" s="10" t="str">
        <f t="shared" si="9"/>
        <v>Periode 1</v>
      </c>
      <c r="K134" s="11" t="str">
        <f t="shared" si="10"/>
        <v>Berdasarkan Permendikdasmen Nomor 7 Tahun 2025 karena:
Pasal 32. Belum memiliki sertifikat Pelatihan BCKS</v>
      </c>
      <c r="L134" s="10" t="str">
        <f t="shared" si="11"/>
        <v>Aktif Periode 1</v>
      </c>
      <c r="M134" s="2"/>
      <c r="N134" s="2"/>
    </row>
    <row r="135" spans="1:14" ht="75" customHeight="1" x14ac:dyDescent="0.35">
      <c r="A135" s="4" t="s">
        <v>393</v>
      </c>
      <c r="B135" s="5" t="s">
        <v>145</v>
      </c>
      <c r="C135" s="6" t="s">
        <v>8</v>
      </c>
      <c r="D135" s="7" t="s">
        <v>11</v>
      </c>
      <c r="E135" s="8" t="s">
        <v>641</v>
      </c>
      <c r="F135" s="7" t="s">
        <v>758</v>
      </c>
      <c r="G135" s="9">
        <v>2024</v>
      </c>
      <c r="H135" s="9">
        <f t="shared" si="8"/>
        <v>2</v>
      </c>
      <c r="I135" s="7" t="s">
        <v>762</v>
      </c>
      <c r="J135" s="10" t="str">
        <f t="shared" si="9"/>
        <v>Periode 1</v>
      </c>
      <c r="K135" s="11" t="str">
        <f t="shared" si="10"/>
        <v>Berdasarkan Permendikdasmen Nomor 7 Tahun 2025 karena:
Pasal 32. Belum memiliki sertifikat Pelatihan BCKS</v>
      </c>
      <c r="L135" s="10" t="str">
        <f t="shared" si="11"/>
        <v>Aktif Periode 1</v>
      </c>
      <c r="M135" s="2"/>
      <c r="N135" s="2"/>
    </row>
    <row r="136" spans="1:14" ht="75" customHeight="1" x14ac:dyDescent="0.35">
      <c r="A136" s="4" t="s">
        <v>394</v>
      </c>
      <c r="B136" s="5" t="s">
        <v>146</v>
      </c>
      <c r="C136" s="6" t="s">
        <v>8</v>
      </c>
      <c r="D136" s="7" t="s">
        <v>10</v>
      </c>
      <c r="E136" s="8" t="s">
        <v>642</v>
      </c>
      <c r="F136" s="7" t="s">
        <v>757</v>
      </c>
      <c r="G136" s="9">
        <v>2024</v>
      </c>
      <c r="H136" s="9">
        <f t="shared" si="8"/>
        <v>2</v>
      </c>
      <c r="I136" s="7" t="s">
        <v>762</v>
      </c>
      <c r="J136" s="10" t="str">
        <f t="shared" si="9"/>
        <v>Periode 1</v>
      </c>
      <c r="K136" s="11" t="str">
        <f t="shared" si="10"/>
        <v>Aman Tanpa Masalah</v>
      </c>
      <c r="L136" s="10" t="str">
        <f t="shared" si="11"/>
        <v>Aktif Periode 1</v>
      </c>
      <c r="M136" s="2"/>
      <c r="N136" s="2"/>
    </row>
    <row r="137" spans="1:14" ht="75" customHeight="1" x14ac:dyDescent="0.35">
      <c r="A137" s="4" t="s">
        <v>395</v>
      </c>
      <c r="B137" s="5" t="s">
        <v>147</v>
      </c>
      <c r="C137" s="6" t="s">
        <v>8</v>
      </c>
      <c r="D137" s="7" t="s">
        <v>9</v>
      </c>
      <c r="E137" s="8" t="s">
        <v>643</v>
      </c>
      <c r="F137" s="7" t="s">
        <v>758</v>
      </c>
      <c r="G137" s="9">
        <v>2024</v>
      </c>
      <c r="H137" s="9">
        <f t="shared" si="8"/>
        <v>2</v>
      </c>
      <c r="I137" s="7" t="s">
        <v>762</v>
      </c>
      <c r="J137" s="10" t="str">
        <f t="shared" si="9"/>
        <v>Periode 1</v>
      </c>
      <c r="K137" s="11" t="str">
        <f t="shared" si="10"/>
        <v>Berdasarkan Permendikdasmen Nomor 7 Tahun 2025 karena:
Pasal 32. Belum memiliki sertifikat Pelatihan BCKS</v>
      </c>
      <c r="L137" s="10" t="str">
        <f t="shared" si="11"/>
        <v>Aktif Periode 1</v>
      </c>
      <c r="M137" s="2"/>
      <c r="N137" s="2"/>
    </row>
    <row r="138" spans="1:14" ht="75" customHeight="1" x14ac:dyDescent="0.35">
      <c r="A138" s="4" t="s">
        <v>396</v>
      </c>
      <c r="B138" s="5" t="s">
        <v>148</v>
      </c>
      <c r="C138" s="6" t="s">
        <v>8</v>
      </c>
      <c r="D138" s="7" t="s">
        <v>9</v>
      </c>
      <c r="E138" s="8" t="s">
        <v>644</v>
      </c>
      <c r="F138" s="7" t="s">
        <v>758</v>
      </c>
      <c r="G138" s="9">
        <v>2024</v>
      </c>
      <c r="H138" s="9">
        <f t="shared" si="8"/>
        <v>2</v>
      </c>
      <c r="I138" s="7" t="s">
        <v>762</v>
      </c>
      <c r="J138" s="10" t="str">
        <f t="shared" si="9"/>
        <v>Periode 1</v>
      </c>
      <c r="K138" s="11" t="str">
        <f t="shared" si="10"/>
        <v>Berdasarkan Permendikdasmen Nomor 7 Tahun 2025 karena:
Pasal 32. Belum memiliki sertifikat Pelatihan BCKS</v>
      </c>
      <c r="L138" s="10" t="str">
        <f t="shared" si="11"/>
        <v>Aktif Periode 1</v>
      </c>
      <c r="M138" s="2"/>
      <c r="N138" s="2"/>
    </row>
    <row r="139" spans="1:14" ht="75" customHeight="1" x14ac:dyDescent="0.35">
      <c r="A139" s="4" t="s">
        <v>397</v>
      </c>
      <c r="B139" s="5" t="s">
        <v>149</v>
      </c>
      <c r="C139" s="6" t="s">
        <v>8</v>
      </c>
      <c r="D139" s="7" t="s">
        <v>10</v>
      </c>
      <c r="E139" s="8" t="s">
        <v>645</v>
      </c>
      <c r="F139" s="7" t="s">
        <v>758</v>
      </c>
      <c r="G139" s="9">
        <v>2010</v>
      </c>
      <c r="H139" s="9">
        <f t="shared" si="8"/>
        <v>16</v>
      </c>
      <c r="I139" s="7" t="s">
        <v>762</v>
      </c>
      <c r="J139" s="10" t="str">
        <f t="shared" si="9"/>
        <v>Lebih dari 2 Periode</v>
      </c>
      <c r="K139" s="11" t="str">
        <f t="shared" si="10"/>
        <v>Berdasarkan Permendikdasmen Nomor 7 Tahun 2025 karena:
Pasal 31. Telah melewati batas periode penugasan
Pasal 32. Belum memiliki sertifikat Pelatihan BCKS</v>
      </c>
      <c r="L139" s="10" t="str">
        <f t="shared" si="11"/>
        <v>Harus Diberhentikan</v>
      </c>
      <c r="M139" s="2"/>
      <c r="N139" s="2"/>
    </row>
    <row r="140" spans="1:14" ht="75" customHeight="1" x14ac:dyDescent="0.35">
      <c r="A140" s="4" t="s">
        <v>398</v>
      </c>
      <c r="B140" s="5" t="s">
        <v>150</v>
      </c>
      <c r="C140" s="6" t="s">
        <v>8</v>
      </c>
      <c r="D140" s="7" t="s">
        <v>9</v>
      </c>
      <c r="E140" s="8" t="s">
        <v>646</v>
      </c>
      <c r="F140" s="7" t="s">
        <v>757</v>
      </c>
      <c r="G140" s="9">
        <v>2010</v>
      </c>
      <c r="H140" s="9">
        <f t="shared" si="8"/>
        <v>16</v>
      </c>
      <c r="I140" s="7" t="s">
        <v>762</v>
      </c>
      <c r="J140" s="10" t="str">
        <f t="shared" si="9"/>
        <v>Lebih dari 2 Periode</v>
      </c>
      <c r="K140" s="11" t="str">
        <f t="shared" si="10"/>
        <v>Berdasarkan Permendikdasmen Nomor 7 Tahun 2025 karena:
Pasal 31. Telah melewati batas periode penugasan</v>
      </c>
      <c r="L140" s="10" t="str">
        <f t="shared" si="11"/>
        <v>Harus Diberhentikan</v>
      </c>
      <c r="M140" s="2"/>
      <c r="N140" s="2"/>
    </row>
    <row r="141" spans="1:14" ht="75" customHeight="1" x14ac:dyDescent="0.35">
      <c r="A141" s="4" t="s">
        <v>399</v>
      </c>
      <c r="B141" s="5" t="s">
        <v>151</v>
      </c>
      <c r="C141" s="6" t="s">
        <v>8</v>
      </c>
      <c r="D141" s="7" t="s">
        <v>9</v>
      </c>
      <c r="E141" s="8" t="s">
        <v>647</v>
      </c>
      <c r="F141" s="7" t="s">
        <v>758</v>
      </c>
      <c r="G141" s="9">
        <v>2010</v>
      </c>
      <c r="H141" s="9">
        <f t="shared" si="8"/>
        <v>16</v>
      </c>
      <c r="I141" s="7" t="s">
        <v>762</v>
      </c>
      <c r="J141" s="10" t="str">
        <f t="shared" si="9"/>
        <v>Lebih dari 2 Periode</v>
      </c>
      <c r="K141" s="11" t="str">
        <f t="shared" si="10"/>
        <v>Berdasarkan Permendikdasmen Nomor 7 Tahun 2025 karena:
Pasal 31. Telah melewati batas periode penugasan
Pasal 32. Belum memiliki sertifikat Pelatihan BCKS</v>
      </c>
      <c r="L141" s="10" t="str">
        <f t="shared" si="11"/>
        <v>Harus Diberhentikan</v>
      </c>
      <c r="M141" s="2"/>
      <c r="N141" s="2"/>
    </row>
    <row r="142" spans="1:14" ht="75" customHeight="1" x14ac:dyDescent="0.35">
      <c r="A142" s="4" t="s">
        <v>400</v>
      </c>
      <c r="B142" s="5" t="s">
        <v>152</v>
      </c>
      <c r="C142" s="6" t="s">
        <v>8</v>
      </c>
      <c r="D142" s="7" t="s">
        <v>10</v>
      </c>
      <c r="E142" s="8" t="s">
        <v>648</v>
      </c>
      <c r="F142" s="7" t="s">
        <v>758</v>
      </c>
      <c r="G142" s="9">
        <v>2010</v>
      </c>
      <c r="H142" s="9">
        <f t="shared" si="8"/>
        <v>16</v>
      </c>
      <c r="I142" s="7" t="s">
        <v>762</v>
      </c>
      <c r="J142" s="10" t="str">
        <f t="shared" si="9"/>
        <v>Lebih dari 2 Periode</v>
      </c>
      <c r="K142" s="11" t="str">
        <f t="shared" si="10"/>
        <v>Berdasarkan Permendikdasmen Nomor 7 Tahun 2025 karena:
Pasal 31. Telah melewati batas periode penugasan
Pasal 32. Belum memiliki sertifikat Pelatihan BCKS</v>
      </c>
      <c r="L142" s="10" t="str">
        <f t="shared" si="11"/>
        <v>Harus Diberhentikan</v>
      </c>
      <c r="M142" s="2"/>
      <c r="N142" s="2"/>
    </row>
    <row r="143" spans="1:14" ht="75" customHeight="1" x14ac:dyDescent="0.35">
      <c r="A143" s="4" t="s">
        <v>401</v>
      </c>
      <c r="B143" s="5" t="s">
        <v>153</v>
      </c>
      <c r="C143" s="6" t="s">
        <v>8</v>
      </c>
      <c r="D143" s="7" t="s">
        <v>9</v>
      </c>
      <c r="E143" s="8" t="s">
        <v>649</v>
      </c>
      <c r="F143" s="7" t="s">
        <v>758</v>
      </c>
      <c r="G143" s="9">
        <v>2010</v>
      </c>
      <c r="H143" s="9">
        <f t="shared" si="8"/>
        <v>16</v>
      </c>
      <c r="I143" s="7" t="s">
        <v>762</v>
      </c>
      <c r="J143" s="10" t="str">
        <f t="shared" si="9"/>
        <v>Lebih dari 2 Periode</v>
      </c>
      <c r="K143" s="11" t="str">
        <f t="shared" si="10"/>
        <v>Berdasarkan Permendikdasmen Nomor 7 Tahun 2025 karena:
Pasal 31. Telah melewati batas periode penugasan
Pasal 32. Belum memiliki sertifikat Pelatihan BCKS</v>
      </c>
      <c r="L143" s="10" t="str">
        <f t="shared" si="11"/>
        <v>Harus Diberhentikan</v>
      </c>
      <c r="M143" s="2"/>
      <c r="N143" s="2"/>
    </row>
    <row r="144" spans="1:14" ht="75" customHeight="1" x14ac:dyDescent="0.35">
      <c r="A144" s="4" t="s">
        <v>402</v>
      </c>
      <c r="B144" s="5" t="s">
        <v>154</v>
      </c>
      <c r="C144" s="6" t="s">
        <v>8</v>
      </c>
      <c r="D144" s="7" t="s">
        <v>9</v>
      </c>
      <c r="E144" s="8" t="s">
        <v>650</v>
      </c>
      <c r="F144" s="7" t="s">
        <v>757</v>
      </c>
      <c r="G144" s="9">
        <v>2022</v>
      </c>
      <c r="H144" s="9">
        <f t="shared" si="8"/>
        <v>4</v>
      </c>
      <c r="I144" s="7" t="s">
        <v>762</v>
      </c>
      <c r="J144" s="10" t="str">
        <f t="shared" si="9"/>
        <v>Periode 2</v>
      </c>
      <c r="K144" s="11" t="str">
        <f t="shared" si="10"/>
        <v>Aman Tanpa Masalah</v>
      </c>
      <c r="L144" s="10" t="str">
        <f t="shared" si="11"/>
        <v>Aktif Periode 2</v>
      </c>
      <c r="M144" s="2"/>
      <c r="N144" s="2"/>
    </row>
    <row r="145" spans="1:14" ht="75" customHeight="1" x14ac:dyDescent="0.35">
      <c r="A145" s="4" t="s">
        <v>403</v>
      </c>
      <c r="B145" s="5" t="s">
        <v>155</v>
      </c>
      <c r="C145" s="6" t="s">
        <v>8</v>
      </c>
      <c r="D145" s="7" t="s">
        <v>9</v>
      </c>
      <c r="E145" s="8" t="s">
        <v>651</v>
      </c>
      <c r="F145" s="7" t="s">
        <v>758</v>
      </c>
      <c r="G145" s="9">
        <v>2022</v>
      </c>
      <c r="H145" s="9">
        <f t="shared" si="8"/>
        <v>4</v>
      </c>
      <c r="I145" s="7" t="s">
        <v>762</v>
      </c>
      <c r="J145" s="10" t="str">
        <f t="shared" si="9"/>
        <v>Periode 2</v>
      </c>
      <c r="K145" s="11" t="str">
        <f t="shared" si="10"/>
        <v>Berdasarkan Permendikdasmen Nomor 7 Tahun 2025 karena:
Pasal 32. Belum memiliki sertifikat Pelatihan BCKS</v>
      </c>
      <c r="L145" s="10" t="str">
        <f t="shared" si="11"/>
        <v>Aktif Periode 2</v>
      </c>
      <c r="M145" s="2"/>
      <c r="N145" s="2"/>
    </row>
    <row r="146" spans="1:14" ht="75" customHeight="1" x14ac:dyDescent="0.35">
      <c r="A146" s="4" t="s">
        <v>404</v>
      </c>
      <c r="B146" s="5" t="s">
        <v>156</v>
      </c>
      <c r="C146" s="6" t="s">
        <v>8</v>
      </c>
      <c r="D146" s="7" t="s">
        <v>9</v>
      </c>
      <c r="E146" s="8" t="s">
        <v>652</v>
      </c>
      <c r="F146" s="7" t="s">
        <v>758</v>
      </c>
      <c r="G146" s="9">
        <v>2022</v>
      </c>
      <c r="H146" s="9">
        <f t="shared" si="8"/>
        <v>4</v>
      </c>
      <c r="I146" s="7" t="s">
        <v>762</v>
      </c>
      <c r="J146" s="10" t="str">
        <f t="shared" si="9"/>
        <v>Periode 2</v>
      </c>
      <c r="K146" s="11" t="str">
        <f t="shared" si="10"/>
        <v>Berdasarkan Permendikdasmen Nomor 7 Tahun 2025 karena:
Pasal 32. Belum memiliki sertifikat Pelatihan BCKS</v>
      </c>
      <c r="L146" s="10" t="str">
        <f t="shared" si="11"/>
        <v>Aktif Periode 2</v>
      </c>
      <c r="M146" s="2"/>
      <c r="N146" s="2"/>
    </row>
    <row r="147" spans="1:14" ht="75" customHeight="1" x14ac:dyDescent="0.35">
      <c r="A147" s="4" t="s">
        <v>405</v>
      </c>
      <c r="B147" s="5" t="s">
        <v>157</v>
      </c>
      <c r="C147" s="6" t="s">
        <v>8</v>
      </c>
      <c r="D147" s="7" t="s">
        <v>10</v>
      </c>
      <c r="E147" s="8" t="s">
        <v>653</v>
      </c>
      <c r="F147" s="7" t="s">
        <v>758</v>
      </c>
      <c r="G147" s="9">
        <v>2022</v>
      </c>
      <c r="H147" s="9">
        <f t="shared" si="8"/>
        <v>4</v>
      </c>
      <c r="I147" s="7" t="s">
        <v>762</v>
      </c>
      <c r="J147" s="10" t="str">
        <f t="shared" si="9"/>
        <v>Periode 2</v>
      </c>
      <c r="K147" s="11" t="str">
        <f t="shared" si="10"/>
        <v>Berdasarkan Permendikdasmen Nomor 7 Tahun 2025 karena:
Pasal 32. Belum memiliki sertifikat Pelatihan BCKS</v>
      </c>
      <c r="L147" s="10" t="str">
        <f t="shared" si="11"/>
        <v>Aktif Periode 2</v>
      </c>
      <c r="M147" s="2"/>
      <c r="N147" s="2"/>
    </row>
    <row r="148" spans="1:14" ht="75" customHeight="1" x14ac:dyDescent="0.35">
      <c r="A148" s="4" t="s">
        <v>406</v>
      </c>
      <c r="B148" s="5" t="s">
        <v>158</v>
      </c>
      <c r="C148" s="6" t="s">
        <v>8</v>
      </c>
      <c r="D148" s="7" t="s">
        <v>10</v>
      </c>
      <c r="E148" s="8" t="s">
        <v>654</v>
      </c>
      <c r="F148" s="7" t="s">
        <v>757</v>
      </c>
      <c r="G148" s="9">
        <v>2022</v>
      </c>
      <c r="H148" s="9">
        <f t="shared" si="8"/>
        <v>4</v>
      </c>
      <c r="I148" s="7" t="s">
        <v>762</v>
      </c>
      <c r="J148" s="10" t="str">
        <f t="shared" si="9"/>
        <v>Periode 2</v>
      </c>
      <c r="K148" s="11" t="str">
        <f t="shared" si="10"/>
        <v>Aman Tanpa Masalah</v>
      </c>
      <c r="L148" s="10" t="str">
        <f t="shared" si="11"/>
        <v>Aktif Periode 2</v>
      </c>
      <c r="M148" s="2"/>
      <c r="N148" s="2"/>
    </row>
    <row r="149" spans="1:14" ht="75" customHeight="1" x14ac:dyDescent="0.35">
      <c r="A149" s="4" t="s">
        <v>407</v>
      </c>
      <c r="B149" s="5" t="s">
        <v>159</v>
      </c>
      <c r="C149" s="6" t="s">
        <v>8</v>
      </c>
      <c r="D149" s="7" t="s">
        <v>9</v>
      </c>
      <c r="E149" s="8" t="s">
        <v>655</v>
      </c>
      <c r="F149" s="7" t="s">
        <v>758</v>
      </c>
      <c r="G149" s="9">
        <v>2022</v>
      </c>
      <c r="H149" s="9">
        <f t="shared" si="8"/>
        <v>4</v>
      </c>
      <c r="I149" s="7" t="s">
        <v>762</v>
      </c>
      <c r="J149" s="10" t="str">
        <f t="shared" si="9"/>
        <v>Periode 2</v>
      </c>
      <c r="K149" s="11" t="str">
        <f t="shared" si="10"/>
        <v>Berdasarkan Permendikdasmen Nomor 7 Tahun 2025 karena:
Pasal 32. Belum memiliki sertifikat Pelatihan BCKS</v>
      </c>
      <c r="L149" s="10" t="str">
        <f t="shared" si="11"/>
        <v>Aktif Periode 2</v>
      </c>
      <c r="M149" s="2"/>
      <c r="N149" s="2"/>
    </row>
    <row r="150" spans="1:14" ht="75" customHeight="1" x14ac:dyDescent="0.35">
      <c r="A150" s="4" t="s">
        <v>408</v>
      </c>
      <c r="B150" s="5" t="s">
        <v>160</v>
      </c>
      <c r="C150" s="6" t="s">
        <v>8</v>
      </c>
      <c r="D150" s="7" t="s">
        <v>9</v>
      </c>
      <c r="E150" s="8" t="s">
        <v>656</v>
      </c>
      <c r="F150" s="7" t="s">
        <v>758</v>
      </c>
      <c r="G150" s="9">
        <v>2022</v>
      </c>
      <c r="H150" s="9">
        <f t="shared" si="8"/>
        <v>4</v>
      </c>
      <c r="I150" s="7" t="s">
        <v>762</v>
      </c>
      <c r="J150" s="10" t="str">
        <f t="shared" si="9"/>
        <v>Periode 2</v>
      </c>
      <c r="K150" s="11" t="str">
        <f t="shared" si="10"/>
        <v>Berdasarkan Permendikdasmen Nomor 7 Tahun 2025 karena:
Pasal 32. Belum memiliki sertifikat Pelatihan BCKS</v>
      </c>
      <c r="L150" s="10" t="str">
        <f t="shared" si="11"/>
        <v>Aktif Periode 2</v>
      </c>
      <c r="M150" s="2"/>
      <c r="N150" s="2"/>
    </row>
    <row r="151" spans="1:14" ht="75" customHeight="1" x14ac:dyDescent="0.35">
      <c r="A151" s="4" t="s">
        <v>409</v>
      </c>
      <c r="B151" s="5" t="s">
        <v>161</v>
      </c>
      <c r="C151" s="6" t="s">
        <v>8</v>
      </c>
      <c r="D151" s="7" t="s">
        <v>10</v>
      </c>
      <c r="E151" s="8" t="s">
        <v>657</v>
      </c>
      <c r="F151" s="7" t="s">
        <v>758</v>
      </c>
      <c r="G151" s="9">
        <v>2022</v>
      </c>
      <c r="H151" s="9">
        <f t="shared" si="8"/>
        <v>4</v>
      </c>
      <c r="I151" s="7" t="s">
        <v>762</v>
      </c>
      <c r="J151" s="10" t="str">
        <f t="shared" si="9"/>
        <v>Periode 2</v>
      </c>
      <c r="K151" s="11" t="str">
        <f t="shared" si="10"/>
        <v>Berdasarkan Permendikdasmen Nomor 7 Tahun 2025 karena:
Pasal 32. Belum memiliki sertifikat Pelatihan BCKS</v>
      </c>
      <c r="L151" s="10" t="str">
        <f t="shared" si="11"/>
        <v>Aktif Periode 2</v>
      </c>
      <c r="M151" s="2"/>
      <c r="N151" s="2"/>
    </row>
    <row r="152" spans="1:14" ht="75" customHeight="1" x14ac:dyDescent="0.35">
      <c r="A152" s="4" t="s">
        <v>410</v>
      </c>
      <c r="B152" s="5" t="s">
        <v>162</v>
      </c>
      <c r="C152" s="6" t="s">
        <v>8</v>
      </c>
      <c r="D152" s="7" t="s">
        <v>9</v>
      </c>
      <c r="E152" s="8" t="s">
        <v>658</v>
      </c>
      <c r="F152" s="7" t="s">
        <v>757</v>
      </c>
      <c r="G152" s="9">
        <v>2022</v>
      </c>
      <c r="H152" s="9">
        <f t="shared" si="8"/>
        <v>4</v>
      </c>
      <c r="I152" s="7" t="s">
        <v>762</v>
      </c>
      <c r="J152" s="10" t="str">
        <f t="shared" si="9"/>
        <v>Periode 2</v>
      </c>
      <c r="K152" s="11" t="str">
        <f t="shared" si="10"/>
        <v>Aman Tanpa Masalah</v>
      </c>
      <c r="L152" s="10" t="str">
        <f t="shared" si="11"/>
        <v>Aktif Periode 2</v>
      </c>
      <c r="M152" s="2"/>
      <c r="N152" s="2"/>
    </row>
    <row r="153" spans="1:14" ht="75" customHeight="1" x14ac:dyDescent="0.35">
      <c r="A153" s="4" t="s">
        <v>411</v>
      </c>
      <c r="B153" s="5" t="s">
        <v>163</v>
      </c>
      <c r="C153" s="6" t="s">
        <v>8</v>
      </c>
      <c r="D153" s="7" t="s">
        <v>9</v>
      </c>
      <c r="E153" s="8" t="s">
        <v>659</v>
      </c>
      <c r="F153" s="7" t="s">
        <v>758</v>
      </c>
      <c r="G153" s="9">
        <v>2022</v>
      </c>
      <c r="H153" s="9">
        <f t="shared" si="8"/>
        <v>4</v>
      </c>
      <c r="I153" s="7" t="s">
        <v>762</v>
      </c>
      <c r="J153" s="10" t="str">
        <f t="shared" si="9"/>
        <v>Periode 2</v>
      </c>
      <c r="K153" s="11" t="str">
        <f t="shared" si="10"/>
        <v>Berdasarkan Permendikdasmen Nomor 7 Tahun 2025 karena:
Pasal 32. Belum memiliki sertifikat Pelatihan BCKS</v>
      </c>
      <c r="L153" s="10" t="str">
        <f t="shared" si="11"/>
        <v>Aktif Periode 2</v>
      </c>
      <c r="M153" s="2"/>
      <c r="N153" s="2"/>
    </row>
    <row r="154" spans="1:14" ht="75" customHeight="1" x14ac:dyDescent="0.35">
      <c r="A154" s="4" t="s">
        <v>412</v>
      </c>
      <c r="B154" s="5" t="s">
        <v>164</v>
      </c>
      <c r="C154" s="6" t="s">
        <v>8</v>
      </c>
      <c r="D154" s="7" t="s">
        <v>9</v>
      </c>
      <c r="E154" s="8" t="s">
        <v>660</v>
      </c>
      <c r="F154" s="7" t="s">
        <v>758</v>
      </c>
      <c r="G154" s="9">
        <v>2022</v>
      </c>
      <c r="H154" s="9">
        <f t="shared" si="8"/>
        <v>4</v>
      </c>
      <c r="I154" s="7" t="s">
        <v>762</v>
      </c>
      <c r="J154" s="10" t="str">
        <f t="shared" si="9"/>
        <v>Periode 2</v>
      </c>
      <c r="K154" s="11" t="str">
        <f t="shared" si="10"/>
        <v>Berdasarkan Permendikdasmen Nomor 7 Tahun 2025 karena:
Pasal 32. Belum memiliki sertifikat Pelatihan BCKS</v>
      </c>
      <c r="L154" s="10" t="str">
        <f t="shared" si="11"/>
        <v>Aktif Periode 2</v>
      </c>
      <c r="M154" s="2"/>
      <c r="N154" s="2"/>
    </row>
    <row r="155" spans="1:14" ht="75" customHeight="1" x14ac:dyDescent="0.35">
      <c r="A155" s="4" t="s">
        <v>413</v>
      </c>
      <c r="B155" s="5" t="s">
        <v>165</v>
      </c>
      <c r="C155" s="6" t="s">
        <v>8</v>
      </c>
      <c r="D155" s="7" t="s">
        <v>9</v>
      </c>
      <c r="E155" s="8" t="s">
        <v>661</v>
      </c>
      <c r="F155" s="7" t="s">
        <v>758</v>
      </c>
      <c r="G155" s="9">
        <v>2022</v>
      </c>
      <c r="H155" s="9">
        <f t="shared" si="8"/>
        <v>4</v>
      </c>
      <c r="I155" s="7" t="s">
        <v>762</v>
      </c>
      <c r="J155" s="10" t="str">
        <f t="shared" si="9"/>
        <v>Periode 2</v>
      </c>
      <c r="K155" s="11" t="str">
        <f t="shared" si="10"/>
        <v>Berdasarkan Permendikdasmen Nomor 7 Tahun 2025 karena:
Pasal 32. Belum memiliki sertifikat Pelatihan BCKS</v>
      </c>
      <c r="L155" s="10" t="str">
        <f t="shared" si="11"/>
        <v>Aktif Periode 2</v>
      </c>
      <c r="M155" s="2"/>
      <c r="N155" s="2"/>
    </row>
    <row r="156" spans="1:14" ht="75" customHeight="1" x14ac:dyDescent="0.35">
      <c r="A156" s="4" t="s">
        <v>414</v>
      </c>
      <c r="B156" s="5" t="s">
        <v>166</v>
      </c>
      <c r="C156" s="6" t="s">
        <v>8</v>
      </c>
      <c r="D156" s="7" t="s">
        <v>10</v>
      </c>
      <c r="E156" s="8" t="s">
        <v>662</v>
      </c>
      <c r="F156" s="7" t="s">
        <v>757</v>
      </c>
      <c r="G156" s="9">
        <v>2022</v>
      </c>
      <c r="H156" s="9">
        <f t="shared" si="8"/>
        <v>4</v>
      </c>
      <c r="I156" s="7" t="s">
        <v>762</v>
      </c>
      <c r="J156" s="10" t="str">
        <f t="shared" si="9"/>
        <v>Periode 2</v>
      </c>
      <c r="K156" s="11" t="str">
        <f t="shared" si="10"/>
        <v>Aman Tanpa Masalah</v>
      </c>
      <c r="L156" s="10" t="str">
        <f t="shared" si="11"/>
        <v>Aktif Periode 2</v>
      </c>
      <c r="M156" s="2"/>
      <c r="N156" s="2"/>
    </row>
    <row r="157" spans="1:14" ht="75" customHeight="1" x14ac:dyDescent="0.35">
      <c r="A157" s="4" t="s">
        <v>415</v>
      </c>
      <c r="B157" s="5" t="s">
        <v>167</v>
      </c>
      <c r="C157" s="6" t="s">
        <v>8</v>
      </c>
      <c r="D157" s="7" t="s">
        <v>9</v>
      </c>
      <c r="E157" s="8" t="s">
        <v>663</v>
      </c>
      <c r="F157" s="7" t="s">
        <v>758</v>
      </c>
      <c r="G157" s="9">
        <v>2022</v>
      </c>
      <c r="H157" s="9">
        <f t="shared" si="8"/>
        <v>4</v>
      </c>
      <c r="I157" s="7" t="s">
        <v>762</v>
      </c>
      <c r="J157" s="10" t="str">
        <f t="shared" si="9"/>
        <v>Periode 2</v>
      </c>
      <c r="K157" s="11" t="str">
        <f t="shared" si="10"/>
        <v>Berdasarkan Permendikdasmen Nomor 7 Tahun 2025 karena:
Pasal 32. Belum memiliki sertifikat Pelatihan BCKS</v>
      </c>
      <c r="L157" s="10" t="str">
        <f t="shared" si="11"/>
        <v>Aktif Periode 2</v>
      </c>
      <c r="M157" s="2"/>
      <c r="N157" s="2"/>
    </row>
    <row r="158" spans="1:14" ht="75" customHeight="1" x14ac:dyDescent="0.35">
      <c r="A158" s="4" t="s">
        <v>416</v>
      </c>
      <c r="B158" s="5" t="s">
        <v>168</v>
      </c>
      <c r="C158" s="6" t="s">
        <v>8</v>
      </c>
      <c r="D158" s="7" t="s">
        <v>10</v>
      </c>
      <c r="E158" s="8" t="s">
        <v>664</v>
      </c>
      <c r="F158" s="7" t="s">
        <v>758</v>
      </c>
      <c r="G158" s="9">
        <v>2022</v>
      </c>
      <c r="H158" s="9">
        <f t="shared" si="8"/>
        <v>4</v>
      </c>
      <c r="I158" s="7" t="s">
        <v>762</v>
      </c>
      <c r="J158" s="10" t="str">
        <f t="shared" si="9"/>
        <v>Periode 2</v>
      </c>
      <c r="K158" s="11" t="str">
        <f t="shared" si="10"/>
        <v>Berdasarkan Permendikdasmen Nomor 7 Tahun 2025 karena:
Pasal 32. Belum memiliki sertifikat Pelatihan BCKS</v>
      </c>
      <c r="L158" s="10" t="str">
        <f t="shared" si="11"/>
        <v>Aktif Periode 2</v>
      </c>
      <c r="M158" s="2"/>
      <c r="N158" s="2"/>
    </row>
    <row r="159" spans="1:14" ht="75" customHeight="1" x14ac:dyDescent="0.35">
      <c r="A159" s="4" t="s">
        <v>417</v>
      </c>
      <c r="B159" s="5" t="s">
        <v>169</v>
      </c>
      <c r="C159" s="6" t="s">
        <v>8</v>
      </c>
      <c r="D159" s="7" t="s">
        <v>10</v>
      </c>
      <c r="E159" s="8" t="s">
        <v>665</v>
      </c>
      <c r="F159" s="7" t="s">
        <v>758</v>
      </c>
      <c r="G159" s="9">
        <v>2022</v>
      </c>
      <c r="H159" s="9">
        <f t="shared" si="8"/>
        <v>4</v>
      </c>
      <c r="I159" s="7" t="s">
        <v>762</v>
      </c>
      <c r="J159" s="10" t="str">
        <f t="shared" si="9"/>
        <v>Periode 2</v>
      </c>
      <c r="K159" s="11" t="str">
        <f t="shared" si="10"/>
        <v>Berdasarkan Permendikdasmen Nomor 7 Tahun 2025 karena:
Pasal 32. Belum memiliki sertifikat Pelatihan BCKS</v>
      </c>
      <c r="L159" s="10" t="str">
        <f t="shared" si="11"/>
        <v>Aktif Periode 2</v>
      </c>
      <c r="M159" s="2"/>
      <c r="N159" s="2"/>
    </row>
    <row r="160" spans="1:14" ht="75" customHeight="1" x14ac:dyDescent="0.35">
      <c r="A160" s="4" t="s">
        <v>418</v>
      </c>
      <c r="B160" s="5" t="s">
        <v>170</v>
      </c>
      <c r="C160" s="6" t="s">
        <v>8</v>
      </c>
      <c r="D160" s="7" t="s">
        <v>10</v>
      </c>
      <c r="E160" s="8" t="s">
        <v>666</v>
      </c>
      <c r="F160" s="7" t="s">
        <v>757</v>
      </c>
      <c r="G160" s="9">
        <v>2022</v>
      </c>
      <c r="H160" s="9">
        <f t="shared" si="8"/>
        <v>4</v>
      </c>
      <c r="I160" s="7" t="s">
        <v>762</v>
      </c>
      <c r="J160" s="10" t="str">
        <f t="shared" si="9"/>
        <v>Periode 2</v>
      </c>
      <c r="K160" s="11" t="str">
        <f t="shared" si="10"/>
        <v>Aman Tanpa Masalah</v>
      </c>
      <c r="L160" s="10" t="str">
        <f t="shared" si="11"/>
        <v>Aktif Periode 2</v>
      </c>
      <c r="M160" s="2"/>
      <c r="N160" s="2"/>
    </row>
    <row r="161" spans="1:14" ht="75" customHeight="1" x14ac:dyDescent="0.35">
      <c r="A161" s="4" t="s">
        <v>419</v>
      </c>
      <c r="B161" s="5" t="s">
        <v>171</v>
      </c>
      <c r="C161" s="6" t="s">
        <v>8</v>
      </c>
      <c r="D161" s="7" t="s">
        <v>10</v>
      </c>
      <c r="E161" s="8" t="s">
        <v>667</v>
      </c>
      <c r="F161" s="7" t="s">
        <v>758</v>
      </c>
      <c r="G161" s="9">
        <v>2022</v>
      </c>
      <c r="H161" s="9">
        <f t="shared" si="8"/>
        <v>4</v>
      </c>
      <c r="I161" s="7" t="s">
        <v>762</v>
      </c>
      <c r="J161" s="10" t="str">
        <f t="shared" si="9"/>
        <v>Periode 2</v>
      </c>
      <c r="K161" s="11" t="str">
        <f t="shared" si="10"/>
        <v>Berdasarkan Permendikdasmen Nomor 7 Tahun 2025 karena:
Pasal 32. Belum memiliki sertifikat Pelatihan BCKS</v>
      </c>
      <c r="L161" s="10" t="str">
        <f t="shared" si="11"/>
        <v>Aktif Periode 2</v>
      </c>
      <c r="M161" s="2"/>
      <c r="N161" s="2"/>
    </row>
    <row r="162" spans="1:14" ht="75" customHeight="1" x14ac:dyDescent="0.35">
      <c r="A162" s="4" t="s">
        <v>420</v>
      </c>
      <c r="B162" s="5" t="s">
        <v>172</v>
      </c>
      <c r="C162" s="6" t="s">
        <v>8</v>
      </c>
      <c r="D162" s="7" t="s">
        <v>10</v>
      </c>
      <c r="E162" s="8" t="s">
        <v>668</v>
      </c>
      <c r="F162" s="7" t="s">
        <v>758</v>
      </c>
      <c r="G162" s="9">
        <v>2022</v>
      </c>
      <c r="H162" s="9">
        <f t="shared" si="8"/>
        <v>4</v>
      </c>
      <c r="I162" s="7" t="s">
        <v>762</v>
      </c>
      <c r="J162" s="10" t="str">
        <f t="shared" si="9"/>
        <v>Periode 2</v>
      </c>
      <c r="K162" s="11" t="str">
        <f t="shared" si="10"/>
        <v>Berdasarkan Permendikdasmen Nomor 7 Tahun 2025 karena:
Pasal 32. Belum memiliki sertifikat Pelatihan BCKS</v>
      </c>
      <c r="L162" s="10" t="str">
        <f t="shared" si="11"/>
        <v>Aktif Periode 2</v>
      </c>
      <c r="M162" s="2"/>
      <c r="N162" s="2"/>
    </row>
    <row r="163" spans="1:14" ht="75" customHeight="1" x14ac:dyDescent="0.35">
      <c r="A163" s="4" t="s">
        <v>421</v>
      </c>
      <c r="B163" s="5" t="s">
        <v>173</v>
      </c>
      <c r="C163" s="6" t="s">
        <v>8</v>
      </c>
      <c r="D163" s="7" t="s">
        <v>10</v>
      </c>
      <c r="E163" s="8" t="s">
        <v>669</v>
      </c>
      <c r="F163" s="7" t="s">
        <v>758</v>
      </c>
      <c r="G163" s="9">
        <v>2022</v>
      </c>
      <c r="H163" s="9">
        <f t="shared" si="8"/>
        <v>4</v>
      </c>
      <c r="I163" s="7" t="s">
        <v>762</v>
      </c>
      <c r="J163" s="10" t="str">
        <f t="shared" si="9"/>
        <v>Periode 2</v>
      </c>
      <c r="K163" s="11" t="str">
        <f t="shared" si="10"/>
        <v>Berdasarkan Permendikdasmen Nomor 7 Tahun 2025 karena:
Pasal 32. Belum memiliki sertifikat Pelatihan BCKS</v>
      </c>
      <c r="L163" s="10" t="str">
        <f t="shared" si="11"/>
        <v>Aktif Periode 2</v>
      </c>
      <c r="M163" s="2"/>
      <c r="N163" s="2"/>
    </row>
    <row r="164" spans="1:14" ht="75" customHeight="1" x14ac:dyDescent="0.35">
      <c r="A164" s="4" t="s">
        <v>422</v>
      </c>
      <c r="B164" s="5" t="s">
        <v>174</v>
      </c>
      <c r="C164" s="6" t="s">
        <v>8</v>
      </c>
      <c r="D164" s="7" t="s">
        <v>10</v>
      </c>
      <c r="E164" s="8" t="s">
        <v>670</v>
      </c>
      <c r="F164" s="7" t="s">
        <v>757</v>
      </c>
      <c r="G164" s="9">
        <v>2022</v>
      </c>
      <c r="H164" s="9">
        <f t="shared" si="8"/>
        <v>4</v>
      </c>
      <c r="I164" s="7" t="s">
        <v>762</v>
      </c>
      <c r="J164" s="10" t="str">
        <f t="shared" si="9"/>
        <v>Periode 2</v>
      </c>
      <c r="K164" s="11" t="str">
        <f t="shared" si="10"/>
        <v>Aman Tanpa Masalah</v>
      </c>
      <c r="L164" s="10" t="str">
        <f t="shared" si="11"/>
        <v>Aktif Periode 2</v>
      </c>
      <c r="M164" s="2"/>
      <c r="N164" s="2"/>
    </row>
    <row r="165" spans="1:14" ht="75" customHeight="1" x14ac:dyDescent="0.35">
      <c r="A165" s="4" t="s">
        <v>423</v>
      </c>
      <c r="B165" s="5" t="s">
        <v>175</v>
      </c>
      <c r="C165" s="6" t="s">
        <v>8</v>
      </c>
      <c r="D165" s="7" t="s">
        <v>9</v>
      </c>
      <c r="E165" s="8" t="s">
        <v>671</v>
      </c>
      <c r="F165" s="7" t="s">
        <v>758</v>
      </c>
      <c r="G165" s="9">
        <v>2022</v>
      </c>
      <c r="H165" s="9">
        <f t="shared" si="8"/>
        <v>4</v>
      </c>
      <c r="I165" s="7" t="s">
        <v>762</v>
      </c>
      <c r="J165" s="10" t="str">
        <f t="shared" si="9"/>
        <v>Periode 2</v>
      </c>
      <c r="K165" s="11" t="str">
        <f t="shared" si="10"/>
        <v>Berdasarkan Permendikdasmen Nomor 7 Tahun 2025 karena:
Pasal 32. Belum memiliki sertifikat Pelatihan BCKS</v>
      </c>
      <c r="L165" s="10" t="str">
        <f t="shared" si="11"/>
        <v>Aktif Periode 2</v>
      </c>
      <c r="M165" s="2"/>
      <c r="N165" s="2"/>
    </row>
    <row r="166" spans="1:14" ht="75" customHeight="1" x14ac:dyDescent="0.35">
      <c r="A166" s="4" t="s">
        <v>424</v>
      </c>
      <c r="B166" s="5" t="s">
        <v>176</v>
      </c>
      <c r="C166" s="6" t="s">
        <v>8</v>
      </c>
      <c r="D166" s="7" t="s">
        <v>9</v>
      </c>
      <c r="E166" s="8" t="s">
        <v>672</v>
      </c>
      <c r="F166" s="7" t="s">
        <v>758</v>
      </c>
      <c r="G166" s="9">
        <v>2022</v>
      </c>
      <c r="H166" s="9">
        <f t="shared" si="8"/>
        <v>4</v>
      </c>
      <c r="I166" s="7" t="s">
        <v>762</v>
      </c>
      <c r="J166" s="10" t="str">
        <f t="shared" si="9"/>
        <v>Periode 2</v>
      </c>
      <c r="K166" s="11" t="str">
        <f t="shared" si="10"/>
        <v>Berdasarkan Permendikdasmen Nomor 7 Tahun 2025 karena:
Pasal 32. Belum memiliki sertifikat Pelatihan BCKS</v>
      </c>
      <c r="L166" s="10" t="str">
        <f t="shared" si="11"/>
        <v>Aktif Periode 2</v>
      </c>
      <c r="M166" s="2"/>
      <c r="N166" s="2"/>
    </row>
    <row r="167" spans="1:14" ht="75" customHeight="1" x14ac:dyDescent="0.35">
      <c r="A167" s="4" t="s">
        <v>425</v>
      </c>
      <c r="B167" s="5" t="s">
        <v>177</v>
      </c>
      <c r="C167" s="6" t="s">
        <v>8</v>
      </c>
      <c r="D167" s="7" t="s">
        <v>9</v>
      </c>
      <c r="E167" s="8" t="s">
        <v>673</v>
      </c>
      <c r="F167" s="7" t="s">
        <v>758</v>
      </c>
      <c r="G167" s="9">
        <v>2010</v>
      </c>
      <c r="H167" s="9">
        <f t="shared" si="8"/>
        <v>16</v>
      </c>
      <c r="I167" s="7" t="s">
        <v>762</v>
      </c>
      <c r="J167" s="10" t="str">
        <f t="shared" si="9"/>
        <v>Lebih dari 2 Periode</v>
      </c>
      <c r="K167" s="11" t="str">
        <f t="shared" si="10"/>
        <v>Berdasarkan Permendikdasmen Nomor 7 Tahun 2025 karena:
Pasal 31. Telah melewati batas periode penugasan
Pasal 32. Belum memiliki sertifikat Pelatihan BCKS</v>
      </c>
      <c r="L167" s="10" t="str">
        <f t="shared" si="11"/>
        <v>Harus Diberhentikan</v>
      </c>
      <c r="M167" s="2"/>
      <c r="N167" s="2"/>
    </row>
    <row r="168" spans="1:14" ht="75" customHeight="1" x14ac:dyDescent="0.35">
      <c r="A168" s="4" t="s">
        <v>426</v>
      </c>
      <c r="B168" s="5" t="s">
        <v>178</v>
      </c>
      <c r="C168" s="6" t="s">
        <v>8</v>
      </c>
      <c r="D168" s="7" t="s">
        <v>10</v>
      </c>
      <c r="E168" s="8" t="s">
        <v>674</v>
      </c>
      <c r="F168" s="7" t="s">
        <v>757</v>
      </c>
      <c r="G168" s="9">
        <v>2021</v>
      </c>
      <c r="H168" s="9">
        <f t="shared" si="8"/>
        <v>5</v>
      </c>
      <c r="I168" s="7" t="s">
        <v>762</v>
      </c>
      <c r="J168" s="10" t="str">
        <f t="shared" si="9"/>
        <v>Periode 2</v>
      </c>
      <c r="K168" s="11" t="str">
        <f t="shared" si="10"/>
        <v>Aman Tanpa Masalah</v>
      </c>
      <c r="L168" s="10" t="str">
        <f t="shared" si="11"/>
        <v>Aktif Periode 2</v>
      </c>
      <c r="M168" s="2"/>
      <c r="N168" s="2"/>
    </row>
    <row r="169" spans="1:14" ht="75" customHeight="1" x14ac:dyDescent="0.35">
      <c r="A169" s="4" t="s">
        <v>427</v>
      </c>
      <c r="B169" s="5" t="s">
        <v>179</v>
      </c>
      <c r="C169" s="6" t="s">
        <v>8</v>
      </c>
      <c r="D169" s="7" t="s">
        <v>10</v>
      </c>
      <c r="E169" s="8" t="s">
        <v>675</v>
      </c>
      <c r="F169" s="7" t="s">
        <v>758</v>
      </c>
      <c r="G169" s="9">
        <v>2021</v>
      </c>
      <c r="H169" s="9">
        <f t="shared" si="8"/>
        <v>5</v>
      </c>
      <c r="I169" s="7" t="s">
        <v>762</v>
      </c>
      <c r="J169" s="10" t="str">
        <f t="shared" si="9"/>
        <v>Periode 2</v>
      </c>
      <c r="K169" s="11" t="str">
        <f t="shared" si="10"/>
        <v>Berdasarkan Permendikdasmen Nomor 7 Tahun 2025 karena:
Pasal 32. Belum memiliki sertifikat Pelatihan BCKS</v>
      </c>
      <c r="L169" s="10" t="str">
        <f t="shared" si="11"/>
        <v>Aktif Periode 2</v>
      </c>
      <c r="M169" s="2"/>
      <c r="N169" s="2"/>
    </row>
    <row r="170" spans="1:14" ht="75" customHeight="1" x14ac:dyDescent="0.35">
      <c r="A170" s="4" t="s">
        <v>428</v>
      </c>
      <c r="B170" s="5" t="s">
        <v>180</v>
      </c>
      <c r="C170" s="6" t="s">
        <v>8</v>
      </c>
      <c r="D170" s="7" t="s">
        <v>9</v>
      </c>
      <c r="E170" s="8" t="s">
        <v>676</v>
      </c>
      <c r="F170" s="7" t="s">
        <v>758</v>
      </c>
      <c r="G170" s="9">
        <v>2021</v>
      </c>
      <c r="H170" s="9">
        <f t="shared" si="8"/>
        <v>5</v>
      </c>
      <c r="I170" s="7" t="s">
        <v>762</v>
      </c>
      <c r="J170" s="10" t="str">
        <f t="shared" si="9"/>
        <v>Periode 2</v>
      </c>
      <c r="K170" s="11" t="str">
        <f t="shared" si="10"/>
        <v>Berdasarkan Permendikdasmen Nomor 7 Tahun 2025 karena:
Pasal 32. Belum memiliki sertifikat Pelatihan BCKS</v>
      </c>
      <c r="L170" s="10" t="str">
        <f t="shared" si="11"/>
        <v>Aktif Periode 2</v>
      </c>
      <c r="M170" s="2"/>
      <c r="N170" s="2"/>
    </row>
    <row r="171" spans="1:14" ht="75" customHeight="1" x14ac:dyDescent="0.35">
      <c r="A171" s="4" t="s">
        <v>429</v>
      </c>
      <c r="B171" s="5" t="s">
        <v>181</v>
      </c>
      <c r="C171" s="6" t="s">
        <v>8</v>
      </c>
      <c r="D171" s="7" t="s">
        <v>10</v>
      </c>
      <c r="E171" s="8" t="s">
        <v>677</v>
      </c>
      <c r="F171" s="7" t="s">
        <v>758</v>
      </c>
      <c r="G171" s="9">
        <v>2021</v>
      </c>
      <c r="H171" s="9">
        <f t="shared" si="8"/>
        <v>5</v>
      </c>
      <c r="I171" s="7" t="s">
        <v>762</v>
      </c>
      <c r="J171" s="10" t="str">
        <f t="shared" si="9"/>
        <v>Periode 2</v>
      </c>
      <c r="K171" s="11" t="str">
        <f t="shared" si="10"/>
        <v>Berdasarkan Permendikdasmen Nomor 7 Tahun 2025 karena:
Pasal 32. Belum memiliki sertifikat Pelatihan BCKS</v>
      </c>
      <c r="L171" s="10" t="str">
        <f t="shared" si="11"/>
        <v>Aktif Periode 2</v>
      </c>
      <c r="M171" s="2"/>
      <c r="N171" s="2"/>
    </row>
    <row r="172" spans="1:14" ht="75" customHeight="1" x14ac:dyDescent="0.35">
      <c r="A172" s="4" t="s">
        <v>430</v>
      </c>
      <c r="B172" s="5" t="s">
        <v>182</v>
      </c>
      <c r="C172" s="6" t="s">
        <v>8</v>
      </c>
      <c r="D172" s="7" t="s">
        <v>9</v>
      </c>
      <c r="E172" s="8" t="s">
        <v>678</v>
      </c>
      <c r="F172" s="7" t="s">
        <v>757</v>
      </c>
      <c r="G172" s="9">
        <v>2021</v>
      </c>
      <c r="H172" s="9">
        <f t="shared" si="8"/>
        <v>5</v>
      </c>
      <c r="I172" s="7" t="s">
        <v>762</v>
      </c>
      <c r="J172" s="10" t="str">
        <f t="shared" si="9"/>
        <v>Periode 2</v>
      </c>
      <c r="K172" s="11" t="str">
        <f t="shared" si="10"/>
        <v>Aman Tanpa Masalah</v>
      </c>
      <c r="L172" s="10" t="str">
        <f t="shared" si="11"/>
        <v>Aktif Periode 2</v>
      </c>
      <c r="M172" s="2"/>
      <c r="N172" s="2"/>
    </row>
    <row r="173" spans="1:14" ht="75" customHeight="1" x14ac:dyDescent="0.35">
      <c r="A173" s="4" t="s">
        <v>431</v>
      </c>
      <c r="B173" s="5" t="s">
        <v>183</v>
      </c>
      <c r="C173" s="6" t="s">
        <v>8</v>
      </c>
      <c r="D173" s="7" t="s">
        <v>9</v>
      </c>
      <c r="E173" s="8" t="s">
        <v>679</v>
      </c>
      <c r="F173" s="7" t="s">
        <v>758</v>
      </c>
      <c r="G173" s="9">
        <v>2021</v>
      </c>
      <c r="H173" s="9">
        <f t="shared" si="8"/>
        <v>5</v>
      </c>
      <c r="I173" s="7" t="s">
        <v>762</v>
      </c>
      <c r="J173" s="10" t="str">
        <f t="shared" si="9"/>
        <v>Periode 2</v>
      </c>
      <c r="K173" s="11" t="str">
        <f t="shared" si="10"/>
        <v>Berdasarkan Permendikdasmen Nomor 7 Tahun 2025 karena:
Pasal 32. Belum memiliki sertifikat Pelatihan BCKS</v>
      </c>
      <c r="L173" s="10" t="str">
        <f t="shared" si="11"/>
        <v>Aktif Periode 2</v>
      </c>
      <c r="M173" s="2"/>
      <c r="N173" s="2"/>
    </row>
    <row r="174" spans="1:14" ht="75" customHeight="1" x14ac:dyDescent="0.35">
      <c r="A174" s="4" t="s">
        <v>432</v>
      </c>
      <c r="B174" s="5" t="s">
        <v>184</v>
      </c>
      <c r="C174" s="6" t="s">
        <v>8</v>
      </c>
      <c r="D174" s="7" t="s">
        <v>9</v>
      </c>
      <c r="E174" s="8" t="s">
        <v>680</v>
      </c>
      <c r="F174" s="7" t="s">
        <v>758</v>
      </c>
      <c r="G174" s="9">
        <v>2021</v>
      </c>
      <c r="H174" s="9">
        <f t="shared" si="8"/>
        <v>5</v>
      </c>
      <c r="I174" s="7" t="s">
        <v>762</v>
      </c>
      <c r="J174" s="10" t="str">
        <f t="shared" si="9"/>
        <v>Periode 2</v>
      </c>
      <c r="K174" s="11" t="str">
        <f t="shared" si="10"/>
        <v>Berdasarkan Permendikdasmen Nomor 7 Tahun 2025 karena:
Pasal 32. Belum memiliki sertifikat Pelatihan BCKS</v>
      </c>
      <c r="L174" s="10" t="str">
        <f t="shared" si="11"/>
        <v>Aktif Periode 2</v>
      </c>
      <c r="M174" s="2"/>
      <c r="N174" s="2"/>
    </row>
    <row r="175" spans="1:14" ht="75" customHeight="1" x14ac:dyDescent="0.35">
      <c r="A175" s="4" t="s">
        <v>433</v>
      </c>
      <c r="B175" s="5" t="s">
        <v>185</v>
      </c>
      <c r="C175" s="6" t="s">
        <v>8</v>
      </c>
      <c r="D175" s="7" t="s">
        <v>9</v>
      </c>
      <c r="E175" s="8" t="s">
        <v>681</v>
      </c>
      <c r="F175" s="7" t="s">
        <v>758</v>
      </c>
      <c r="G175" s="9">
        <v>2021</v>
      </c>
      <c r="H175" s="9">
        <f t="shared" si="8"/>
        <v>5</v>
      </c>
      <c r="I175" s="7" t="s">
        <v>762</v>
      </c>
      <c r="J175" s="10" t="str">
        <f t="shared" si="9"/>
        <v>Periode 2</v>
      </c>
      <c r="K175" s="11" t="str">
        <f t="shared" si="10"/>
        <v>Berdasarkan Permendikdasmen Nomor 7 Tahun 2025 karena:
Pasal 32. Belum memiliki sertifikat Pelatihan BCKS</v>
      </c>
      <c r="L175" s="10" t="str">
        <f t="shared" si="11"/>
        <v>Aktif Periode 2</v>
      </c>
      <c r="M175" s="2"/>
      <c r="N175" s="2"/>
    </row>
    <row r="176" spans="1:14" ht="75" customHeight="1" x14ac:dyDescent="0.35">
      <c r="A176" s="4" t="s">
        <v>434</v>
      </c>
      <c r="B176" s="5" t="s">
        <v>186</v>
      </c>
      <c r="C176" s="6" t="s">
        <v>8</v>
      </c>
      <c r="D176" s="7" t="s">
        <v>10</v>
      </c>
      <c r="E176" s="8" t="s">
        <v>682</v>
      </c>
      <c r="F176" s="7" t="s">
        <v>757</v>
      </c>
      <c r="G176" s="9">
        <v>2021</v>
      </c>
      <c r="H176" s="9">
        <f t="shared" si="8"/>
        <v>5</v>
      </c>
      <c r="I176" s="7" t="s">
        <v>762</v>
      </c>
      <c r="J176" s="10" t="str">
        <f t="shared" si="9"/>
        <v>Periode 2</v>
      </c>
      <c r="K176" s="11" t="str">
        <f t="shared" si="10"/>
        <v>Aman Tanpa Masalah</v>
      </c>
      <c r="L176" s="10" t="str">
        <f t="shared" si="11"/>
        <v>Aktif Periode 2</v>
      </c>
      <c r="M176" s="2"/>
      <c r="N176" s="2"/>
    </row>
    <row r="177" spans="1:14" ht="75" customHeight="1" x14ac:dyDescent="0.35">
      <c r="A177" s="4" t="s">
        <v>435</v>
      </c>
      <c r="B177" s="5" t="s">
        <v>187</v>
      </c>
      <c r="C177" s="6" t="s">
        <v>8</v>
      </c>
      <c r="D177" s="7" t="s">
        <v>10</v>
      </c>
      <c r="E177" s="8" t="s">
        <v>683</v>
      </c>
      <c r="F177" s="7" t="s">
        <v>758</v>
      </c>
      <c r="G177" s="9">
        <v>2021</v>
      </c>
      <c r="H177" s="9">
        <f t="shared" si="8"/>
        <v>5</v>
      </c>
      <c r="I177" s="7" t="s">
        <v>762</v>
      </c>
      <c r="J177" s="10" t="str">
        <f t="shared" si="9"/>
        <v>Periode 2</v>
      </c>
      <c r="K177" s="11" t="str">
        <f t="shared" si="10"/>
        <v>Berdasarkan Permendikdasmen Nomor 7 Tahun 2025 karena:
Pasal 32. Belum memiliki sertifikat Pelatihan BCKS</v>
      </c>
      <c r="L177" s="10" t="str">
        <f t="shared" si="11"/>
        <v>Aktif Periode 2</v>
      </c>
      <c r="M177" s="2"/>
      <c r="N177" s="2"/>
    </row>
    <row r="178" spans="1:14" ht="75" customHeight="1" x14ac:dyDescent="0.35">
      <c r="A178" s="4" t="s">
        <v>436</v>
      </c>
      <c r="B178" s="5" t="s">
        <v>188</v>
      </c>
      <c r="C178" s="6" t="s">
        <v>8</v>
      </c>
      <c r="D178" s="7" t="s">
        <v>10</v>
      </c>
      <c r="E178" s="8" t="s">
        <v>684</v>
      </c>
      <c r="F178" s="7" t="s">
        <v>758</v>
      </c>
      <c r="G178" s="9">
        <v>2021</v>
      </c>
      <c r="H178" s="9">
        <f t="shared" si="8"/>
        <v>5</v>
      </c>
      <c r="I178" s="7" t="s">
        <v>762</v>
      </c>
      <c r="J178" s="10" t="str">
        <f t="shared" si="9"/>
        <v>Periode 2</v>
      </c>
      <c r="K178" s="11" t="str">
        <f t="shared" si="10"/>
        <v>Berdasarkan Permendikdasmen Nomor 7 Tahun 2025 karena:
Pasal 32. Belum memiliki sertifikat Pelatihan BCKS</v>
      </c>
      <c r="L178" s="10" t="str">
        <f t="shared" si="11"/>
        <v>Aktif Periode 2</v>
      </c>
      <c r="M178" s="2"/>
      <c r="N178" s="2"/>
    </row>
    <row r="179" spans="1:14" ht="75" customHeight="1" x14ac:dyDescent="0.35">
      <c r="A179" s="4" t="s">
        <v>437</v>
      </c>
      <c r="B179" s="5" t="s">
        <v>189</v>
      </c>
      <c r="C179" s="6" t="s">
        <v>8</v>
      </c>
      <c r="D179" s="7" t="s">
        <v>10</v>
      </c>
      <c r="E179" s="8" t="s">
        <v>685</v>
      </c>
      <c r="F179" s="7" t="s">
        <v>758</v>
      </c>
      <c r="G179" s="9">
        <v>2021</v>
      </c>
      <c r="H179" s="9">
        <f t="shared" si="8"/>
        <v>5</v>
      </c>
      <c r="I179" s="7" t="s">
        <v>762</v>
      </c>
      <c r="J179" s="10" t="str">
        <f t="shared" si="9"/>
        <v>Periode 2</v>
      </c>
      <c r="K179" s="11" t="str">
        <f t="shared" si="10"/>
        <v>Berdasarkan Permendikdasmen Nomor 7 Tahun 2025 karena:
Pasal 32. Belum memiliki sertifikat Pelatihan BCKS</v>
      </c>
      <c r="L179" s="10" t="str">
        <f t="shared" si="11"/>
        <v>Aktif Periode 2</v>
      </c>
      <c r="M179" s="2"/>
      <c r="N179" s="2"/>
    </row>
    <row r="180" spans="1:14" ht="75" customHeight="1" x14ac:dyDescent="0.35">
      <c r="A180" s="4" t="s">
        <v>438</v>
      </c>
      <c r="B180" s="5" t="s">
        <v>190</v>
      </c>
      <c r="C180" s="6" t="s">
        <v>8</v>
      </c>
      <c r="D180" s="7" t="s">
        <v>10</v>
      </c>
      <c r="E180" s="8" t="s">
        <v>686</v>
      </c>
      <c r="F180" s="7" t="s">
        <v>757</v>
      </c>
      <c r="G180" s="9">
        <v>2021</v>
      </c>
      <c r="H180" s="9">
        <f t="shared" si="8"/>
        <v>5</v>
      </c>
      <c r="I180" s="7" t="s">
        <v>762</v>
      </c>
      <c r="J180" s="10" t="str">
        <f t="shared" si="9"/>
        <v>Periode 2</v>
      </c>
      <c r="K180" s="11" t="str">
        <f t="shared" si="10"/>
        <v>Aman Tanpa Masalah</v>
      </c>
      <c r="L180" s="10" t="str">
        <f t="shared" si="11"/>
        <v>Aktif Periode 2</v>
      </c>
      <c r="M180" s="2"/>
      <c r="N180" s="2"/>
    </row>
    <row r="181" spans="1:14" ht="75" customHeight="1" x14ac:dyDescent="0.35">
      <c r="A181" s="4" t="s">
        <v>439</v>
      </c>
      <c r="B181" s="5" t="s">
        <v>191</v>
      </c>
      <c r="C181" s="6" t="s">
        <v>8</v>
      </c>
      <c r="D181" s="7" t="s">
        <v>10</v>
      </c>
      <c r="E181" s="8" t="s">
        <v>687</v>
      </c>
      <c r="F181" s="7" t="s">
        <v>758</v>
      </c>
      <c r="G181" s="9">
        <v>2021</v>
      </c>
      <c r="H181" s="9">
        <f t="shared" si="8"/>
        <v>5</v>
      </c>
      <c r="I181" s="7" t="s">
        <v>762</v>
      </c>
      <c r="J181" s="10" t="str">
        <f t="shared" si="9"/>
        <v>Periode 2</v>
      </c>
      <c r="K181" s="11" t="str">
        <f t="shared" si="10"/>
        <v>Berdasarkan Permendikdasmen Nomor 7 Tahun 2025 karena:
Pasal 32. Belum memiliki sertifikat Pelatihan BCKS</v>
      </c>
      <c r="L181" s="10" t="str">
        <f t="shared" si="11"/>
        <v>Aktif Periode 2</v>
      </c>
      <c r="M181" s="2"/>
      <c r="N181" s="2"/>
    </row>
    <row r="182" spans="1:14" ht="75" customHeight="1" x14ac:dyDescent="0.35">
      <c r="A182" s="4" t="s">
        <v>440</v>
      </c>
      <c r="B182" s="5" t="s">
        <v>192</v>
      </c>
      <c r="C182" s="6" t="s">
        <v>8</v>
      </c>
      <c r="D182" s="7" t="s">
        <v>10</v>
      </c>
      <c r="E182" s="8" t="s">
        <v>688</v>
      </c>
      <c r="F182" s="7" t="s">
        <v>758</v>
      </c>
      <c r="G182" s="9">
        <v>2021</v>
      </c>
      <c r="H182" s="9">
        <f t="shared" si="8"/>
        <v>5</v>
      </c>
      <c r="I182" s="7" t="s">
        <v>762</v>
      </c>
      <c r="J182" s="10" t="str">
        <f t="shared" si="9"/>
        <v>Periode 2</v>
      </c>
      <c r="K182" s="11" t="str">
        <f t="shared" si="10"/>
        <v>Berdasarkan Permendikdasmen Nomor 7 Tahun 2025 karena:
Pasal 32. Belum memiliki sertifikat Pelatihan BCKS</v>
      </c>
      <c r="L182" s="10" t="str">
        <f t="shared" si="11"/>
        <v>Aktif Periode 2</v>
      </c>
      <c r="M182" s="2"/>
      <c r="N182" s="2"/>
    </row>
    <row r="183" spans="1:14" ht="75" customHeight="1" x14ac:dyDescent="0.35">
      <c r="A183" s="4" t="s">
        <v>441</v>
      </c>
      <c r="B183" s="5" t="s">
        <v>193</v>
      </c>
      <c r="C183" s="6" t="s">
        <v>8</v>
      </c>
      <c r="D183" s="7" t="s">
        <v>10</v>
      </c>
      <c r="E183" s="8" t="s">
        <v>689</v>
      </c>
      <c r="F183" s="7" t="s">
        <v>758</v>
      </c>
      <c r="G183" s="9">
        <v>2021</v>
      </c>
      <c r="H183" s="9">
        <f t="shared" si="8"/>
        <v>5</v>
      </c>
      <c r="I183" s="7" t="s">
        <v>762</v>
      </c>
      <c r="J183" s="10" t="str">
        <f t="shared" si="9"/>
        <v>Periode 2</v>
      </c>
      <c r="K183" s="11" t="str">
        <f t="shared" si="10"/>
        <v>Berdasarkan Permendikdasmen Nomor 7 Tahun 2025 karena:
Pasal 32. Belum memiliki sertifikat Pelatihan BCKS</v>
      </c>
      <c r="L183" s="10" t="str">
        <f t="shared" si="11"/>
        <v>Aktif Periode 2</v>
      </c>
      <c r="M183" s="2"/>
      <c r="N183" s="2"/>
    </row>
    <row r="184" spans="1:14" ht="75" customHeight="1" x14ac:dyDescent="0.35">
      <c r="A184" s="4" t="s">
        <v>442</v>
      </c>
      <c r="B184" s="5" t="s">
        <v>194</v>
      </c>
      <c r="C184" s="6" t="s">
        <v>8</v>
      </c>
      <c r="D184" s="7" t="s">
        <v>10</v>
      </c>
      <c r="E184" s="8" t="s">
        <v>690</v>
      </c>
      <c r="F184" s="7" t="s">
        <v>757</v>
      </c>
      <c r="G184" s="9">
        <v>2010</v>
      </c>
      <c r="H184" s="9">
        <f t="shared" si="8"/>
        <v>16</v>
      </c>
      <c r="I184" s="7" t="s">
        <v>762</v>
      </c>
      <c r="J184" s="10" t="str">
        <f t="shared" si="9"/>
        <v>Lebih dari 2 Periode</v>
      </c>
      <c r="K184" s="11" t="str">
        <f t="shared" si="10"/>
        <v>Berdasarkan Permendikdasmen Nomor 7 Tahun 2025 karena:
Pasal 31. Telah melewati batas periode penugasan</v>
      </c>
      <c r="L184" s="10" t="str">
        <f t="shared" si="11"/>
        <v>Harus Diberhentikan</v>
      </c>
      <c r="M184" s="2"/>
      <c r="N184" s="2"/>
    </row>
    <row r="185" spans="1:14" ht="75" customHeight="1" x14ac:dyDescent="0.35">
      <c r="A185" s="4" t="s">
        <v>443</v>
      </c>
      <c r="B185" s="5" t="s">
        <v>195</v>
      </c>
      <c r="C185" s="6" t="s">
        <v>8</v>
      </c>
      <c r="D185" s="7" t="s">
        <v>10</v>
      </c>
      <c r="E185" s="8" t="s">
        <v>691</v>
      </c>
      <c r="F185" s="7" t="s">
        <v>758</v>
      </c>
      <c r="G185" s="9">
        <v>2010</v>
      </c>
      <c r="H185" s="9">
        <f t="shared" si="8"/>
        <v>16</v>
      </c>
      <c r="I185" s="7" t="s">
        <v>762</v>
      </c>
      <c r="J185" s="10" t="str">
        <f t="shared" si="9"/>
        <v>Lebih dari 2 Periode</v>
      </c>
      <c r="K185" s="11" t="str">
        <f t="shared" si="10"/>
        <v>Berdasarkan Permendikdasmen Nomor 7 Tahun 2025 karena:
Pasal 31. Telah melewati batas periode penugasan
Pasal 32. Belum memiliki sertifikat Pelatihan BCKS</v>
      </c>
      <c r="L185" s="10" t="str">
        <f t="shared" si="11"/>
        <v>Harus Diberhentikan</v>
      </c>
      <c r="M185" s="2"/>
      <c r="N185" s="2"/>
    </row>
    <row r="186" spans="1:14" ht="75" customHeight="1" x14ac:dyDescent="0.35">
      <c r="A186" s="4" t="s">
        <v>444</v>
      </c>
      <c r="B186" s="5" t="s">
        <v>196</v>
      </c>
      <c r="C186" s="6" t="s">
        <v>8</v>
      </c>
      <c r="D186" s="7" t="s">
        <v>9</v>
      </c>
      <c r="E186" s="8" t="s">
        <v>692</v>
      </c>
      <c r="F186" s="7" t="s">
        <v>758</v>
      </c>
      <c r="G186" s="9">
        <v>2010</v>
      </c>
      <c r="H186" s="9">
        <f t="shared" si="8"/>
        <v>16</v>
      </c>
      <c r="I186" s="7" t="s">
        <v>762</v>
      </c>
      <c r="J186" s="10" t="str">
        <f t="shared" si="9"/>
        <v>Lebih dari 2 Periode</v>
      </c>
      <c r="K186" s="11" t="str">
        <f t="shared" si="10"/>
        <v>Berdasarkan Permendikdasmen Nomor 7 Tahun 2025 karena:
Pasal 31. Telah melewati batas periode penugasan
Pasal 32. Belum memiliki sertifikat Pelatihan BCKS</v>
      </c>
      <c r="L186" s="10" t="str">
        <f t="shared" si="11"/>
        <v>Harus Diberhentikan</v>
      </c>
      <c r="M186" s="2"/>
      <c r="N186" s="2"/>
    </row>
    <row r="187" spans="1:14" ht="75" customHeight="1" x14ac:dyDescent="0.35">
      <c r="A187" s="4" t="s">
        <v>445</v>
      </c>
      <c r="B187" s="5" t="s">
        <v>197</v>
      </c>
      <c r="C187" s="6" t="s">
        <v>8</v>
      </c>
      <c r="D187" s="7" t="s">
        <v>10</v>
      </c>
      <c r="E187" s="8" t="s">
        <v>693</v>
      </c>
      <c r="F187" s="7" t="s">
        <v>758</v>
      </c>
      <c r="G187" s="9">
        <v>2010</v>
      </c>
      <c r="H187" s="9">
        <f t="shared" si="8"/>
        <v>16</v>
      </c>
      <c r="I187" s="7" t="s">
        <v>762</v>
      </c>
      <c r="J187" s="10" t="str">
        <f t="shared" si="9"/>
        <v>Lebih dari 2 Periode</v>
      </c>
      <c r="K187" s="11" t="str">
        <f t="shared" si="10"/>
        <v>Berdasarkan Permendikdasmen Nomor 7 Tahun 2025 karena:
Pasal 31. Telah melewati batas periode penugasan
Pasal 32. Belum memiliki sertifikat Pelatihan BCKS</v>
      </c>
      <c r="L187" s="10" t="str">
        <f t="shared" si="11"/>
        <v>Harus Diberhentikan</v>
      </c>
      <c r="M187" s="2"/>
      <c r="N187" s="2"/>
    </row>
    <row r="188" spans="1:14" ht="75" customHeight="1" x14ac:dyDescent="0.35">
      <c r="A188" s="4" t="s">
        <v>446</v>
      </c>
      <c r="B188" s="5" t="s">
        <v>198</v>
      </c>
      <c r="C188" s="6" t="s">
        <v>8</v>
      </c>
      <c r="D188" s="7" t="s">
        <v>9</v>
      </c>
      <c r="E188" s="8" t="s">
        <v>694</v>
      </c>
      <c r="F188" s="7" t="s">
        <v>757</v>
      </c>
      <c r="G188" s="9">
        <v>2010</v>
      </c>
      <c r="H188" s="9">
        <f t="shared" si="8"/>
        <v>16</v>
      </c>
      <c r="I188" s="7" t="s">
        <v>762</v>
      </c>
      <c r="J188" s="10" t="str">
        <f t="shared" si="9"/>
        <v>Lebih dari 2 Periode</v>
      </c>
      <c r="K188" s="11" t="str">
        <f t="shared" si="10"/>
        <v>Berdasarkan Permendikdasmen Nomor 7 Tahun 2025 karena:
Pasal 31. Telah melewati batas periode penugasan</v>
      </c>
      <c r="L188" s="10" t="str">
        <f t="shared" si="11"/>
        <v>Harus Diberhentikan</v>
      </c>
      <c r="M188" s="2"/>
      <c r="N188" s="2"/>
    </row>
    <row r="189" spans="1:14" ht="75" customHeight="1" x14ac:dyDescent="0.35">
      <c r="A189" s="4" t="s">
        <v>447</v>
      </c>
      <c r="B189" s="5" t="s">
        <v>199</v>
      </c>
      <c r="C189" s="6" t="s">
        <v>8</v>
      </c>
      <c r="D189" s="7" t="s">
        <v>10</v>
      </c>
      <c r="E189" s="8" t="s">
        <v>695</v>
      </c>
      <c r="F189" s="7" t="s">
        <v>758</v>
      </c>
      <c r="G189" s="9">
        <v>2025</v>
      </c>
      <c r="H189" s="9">
        <f t="shared" si="8"/>
        <v>1</v>
      </c>
      <c r="I189" s="7" t="s">
        <v>762</v>
      </c>
      <c r="J189" s="10" t="str">
        <f t="shared" si="9"/>
        <v>Periode 1</v>
      </c>
      <c r="K189" s="11" t="str">
        <f t="shared" si="10"/>
        <v>Berdasarkan Permendikdasmen Nomor 7 Tahun 2025 karena:
Pasal 32. Belum memiliki sertifikat Pelatihan BCKS</v>
      </c>
      <c r="L189" s="10" t="str">
        <f t="shared" si="11"/>
        <v>Aktif Periode 1</v>
      </c>
      <c r="M189" s="2"/>
      <c r="N189" s="2"/>
    </row>
    <row r="190" spans="1:14" ht="75" customHeight="1" x14ac:dyDescent="0.35">
      <c r="A190" s="4" t="s">
        <v>448</v>
      </c>
      <c r="B190" s="5" t="s">
        <v>200</v>
      </c>
      <c r="C190" s="6" t="s">
        <v>8</v>
      </c>
      <c r="D190" s="7" t="s">
        <v>9</v>
      </c>
      <c r="E190" s="8" t="s">
        <v>696</v>
      </c>
      <c r="F190" s="7" t="s">
        <v>758</v>
      </c>
      <c r="G190" s="9">
        <v>2025</v>
      </c>
      <c r="H190" s="9">
        <f t="shared" si="8"/>
        <v>1</v>
      </c>
      <c r="I190" s="7" t="s">
        <v>762</v>
      </c>
      <c r="J190" s="10" t="str">
        <f t="shared" si="9"/>
        <v>Periode 1</v>
      </c>
      <c r="K190" s="11" t="str">
        <f t="shared" si="10"/>
        <v>Berdasarkan Permendikdasmen Nomor 7 Tahun 2025 karena:
Pasal 32. Belum memiliki sertifikat Pelatihan BCKS</v>
      </c>
      <c r="L190" s="10" t="str">
        <f t="shared" si="11"/>
        <v>Aktif Periode 1</v>
      </c>
      <c r="M190" s="2"/>
      <c r="N190" s="2"/>
    </row>
    <row r="191" spans="1:14" ht="75" customHeight="1" x14ac:dyDescent="0.35">
      <c r="A191" s="4" t="s">
        <v>449</v>
      </c>
      <c r="B191" s="5" t="s">
        <v>201</v>
      </c>
      <c r="C191" s="6" t="s">
        <v>8</v>
      </c>
      <c r="D191" s="7" t="s">
        <v>9</v>
      </c>
      <c r="E191" s="8" t="s">
        <v>697</v>
      </c>
      <c r="F191" s="7" t="s">
        <v>758</v>
      </c>
      <c r="G191" s="9">
        <v>2025</v>
      </c>
      <c r="H191" s="9">
        <f t="shared" si="8"/>
        <v>1</v>
      </c>
      <c r="I191" s="7" t="s">
        <v>762</v>
      </c>
      <c r="J191" s="10" t="str">
        <f t="shared" si="9"/>
        <v>Periode 1</v>
      </c>
      <c r="K191" s="11" t="str">
        <f t="shared" si="10"/>
        <v>Berdasarkan Permendikdasmen Nomor 7 Tahun 2025 karena:
Pasal 32. Belum memiliki sertifikat Pelatihan BCKS</v>
      </c>
      <c r="L191" s="10" t="str">
        <f t="shared" si="11"/>
        <v>Aktif Periode 1</v>
      </c>
      <c r="M191" s="2"/>
      <c r="N191" s="2"/>
    </row>
    <row r="192" spans="1:14" ht="75" customHeight="1" x14ac:dyDescent="0.35">
      <c r="A192" s="4" t="s">
        <v>450</v>
      </c>
      <c r="B192" s="5" t="s">
        <v>202</v>
      </c>
      <c r="C192" s="6" t="s">
        <v>8</v>
      </c>
      <c r="D192" s="7" t="s">
        <v>9</v>
      </c>
      <c r="E192" s="8" t="s">
        <v>698</v>
      </c>
      <c r="F192" s="7" t="s">
        <v>757</v>
      </c>
      <c r="G192" s="9">
        <v>2025</v>
      </c>
      <c r="H192" s="9">
        <f t="shared" si="8"/>
        <v>1</v>
      </c>
      <c r="I192" s="7" t="s">
        <v>762</v>
      </c>
      <c r="J192" s="10" t="str">
        <f t="shared" si="9"/>
        <v>Periode 1</v>
      </c>
      <c r="K192" s="11" t="str">
        <f t="shared" si="10"/>
        <v>Aman Tanpa Masalah</v>
      </c>
      <c r="L192" s="10" t="str">
        <f t="shared" si="11"/>
        <v>Aktif Periode 1</v>
      </c>
      <c r="M192" s="2"/>
      <c r="N192" s="2"/>
    </row>
    <row r="193" spans="1:14" ht="75" customHeight="1" x14ac:dyDescent="0.35">
      <c r="A193" s="4" t="s">
        <v>451</v>
      </c>
      <c r="B193" s="5" t="s">
        <v>203</v>
      </c>
      <c r="C193" s="6" t="s">
        <v>8</v>
      </c>
      <c r="D193" s="7" t="s">
        <v>9</v>
      </c>
      <c r="E193" s="8" t="s">
        <v>699</v>
      </c>
      <c r="F193" s="7" t="s">
        <v>758</v>
      </c>
      <c r="G193" s="9">
        <v>2025</v>
      </c>
      <c r="H193" s="9">
        <f t="shared" si="8"/>
        <v>1</v>
      </c>
      <c r="I193" s="7" t="s">
        <v>762</v>
      </c>
      <c r="J193" s="10" t="str">
        <f t="shared" si="9"/>
        <v>Periode 1</v>
      </c>
      <c r="K193" s="11" t="str">
        <f t="shared" si="10"/>
        <v>Berdasarkan Permendikdasmen Nomor 7 Tahun 2025 karena:
Pasal 32. Belum memiliki sertifikat Pelatihan BCKS</v>
      </c>
      <c r="L193" s="10" t="str">
        <f t="shared" si="11"/>
        <v>Aktif Periode 1</v>
      </c>
      <c r="M193" s="2"/>
      <c r="N193" s="2"/>
    </row>
    <row r="194" spans="1:14" ht="75" customHeight="1" x14ac:dyDescent="0.35">
      <c r="A194" s="4" t="s">
        <v>452</v>
      </c>
      <c r="B194" s="5" t="s">
        <v>204</v>
      </c>
      <c r="C194" s="6" t="s">
        <v>8</v>
      </c>
      <c r="D194" s="7" t="s">
        <v>9</v>
      </c>
      <c r="E194" s="8" t="s">
        <v>700</v>
      </c>
      <c r="F194" s="7" t="s">
        <v>758</v>
      </c>
      <c r="G194" s="9">
        <v>2025</v>
      </c>
      <c r="H194" s="9">
        <f t="shared" ref="H194:H249" si="12">2026-G194</f>
        <v>1</v>
      </c>
      <c r="I194" s="7" t="s">
        <v>762</v>
      </c>
      <c r="J194" s="10" t="str">
        <f t="shared" si="9"/>
        <v>Periode 1</v>
      </c>
      <c r="K194" s="11" t="str">
        <f t="shared" si="10"/>
        <v>Berdasarkan Permendikdasmen Nomor 7 Tahun 2025 karena:
Pasal 32. Belum memiliki sertifikat Pelatihan BCKS</v>
      </c>
      <c r="L194" s="10" t="str">
        <f t="shared" si="11"/>
        <v>Aktif Periode 1</v>
      </c>
      <c r="M194" s="2"/>
      <c r="N194" s="2"/>
    </row>
    <row r="195" spans="1:14" ht="75" customHeight="1" x14ac:dyDescent="0.35">
      <c r="A195" s="4" t="s">
        <v>453</v>
      </c>
      <c r="B195" s="5" t="s">
        <v>205</v>
      </c>
      <c r="C195" s="6" t="s">
        <v>8</v>
      </c>
      <c r="D195" s="7" t="s">
        <v>9</v>
      </c>
      <c r="E195" s="8" t="s">
        <v>701</v>
      </c>
      <c r="F195" s="7" t="s">
        <v>758</v>
      </c>
      <c r="G195" s="9">
        <v>2025</v>
      </c>
      <c r="H195" s="9">
        <f t="shared" si="12"/>
        <v>1</v>
      </c>
      <c r="I195" s="7" t="s">
        <v>762</v>
      </c>
      <c r="J195" s="10" t="str">
        <f t="shared" ref="J195:J249" si="13">IF(I195="Plt",
"Masih Plt",
IF(H195&lt;4,
"Periode 1",
IF(H195&lt;=8,
"Periode 2",
"Lebih dari 2 Periode"
)))</f>
        <v>Periode 1</v>
      </c>
      <c r="K195" s="11" t="str">
        <f t="shared" ref="K195:K249" si="14">IF(I195="Plt",
"Pemberitahuan:"&amp;CHAR(10)&amp;
"Kepala Sekolah masih berstatus Pelaksana Tugas (Plt) dan belum ditetapkan sebagai Kepala Sekolah definitif.",
IF(AND(OR(J195="Periode 1",J195="Periode 2"),F195="Sudah"),
"Aman Tanpa Masalah",
IF(AND(OR(J195="Periode 1",J195="Periode 2"),F195="Belum"),
"Berdasarkan Permendikdasmen Nomor 7 Tahun 2025 karena:"&amp;CHAR(10)&amp;
"Pasal 32. Belum memiliki sertifikat Pelatihan BCKS",
IF(AND(J195="Lebih dari 2 Periode",F195="Belum"),
"Berdasarkan Permendikdasmen Nomor 7 Tahun 2025 karena:"&amp;CHAR(10)&amp;
"Pasal 31. Telah melewati batas periode penugasan"&amp;CHAR(10)&amp;
"Pasal 32. Belum memiliki sertifikat Pelatihan BCKS",
IF(J195="Lebih dari 2 Periode",
"Berdasarkan Permendikdasmen Nomor 7 Tahun 2025 karena:"&amp;CHAR(10)&amp;
"Pasal 31. Telah melewati batas periode penugasan",
""
)))))</f>
        <v>Berdasarkan Permendikdasmen Nomor 7 Tahun 2025 karena:
Pasal 32. Belum memiliki sertifikat Pelatihan BCKS</v>
      </c>
      <c r="L195" s="10" t="str">
        <f t="shared" ref="L195:L249" si="15">IF(J195="Masih Plt",
"Harap Segera Definitifkan",
IF(H195&lt;4,
"Aktif Periode 1",
IF(H195&lt;=8,
"Aktif Periode 2",
"Harus Diberhentikan"
)))</f>
        <v>Aktif Periode 1</v>
      </c>
      <c r="M195" s="2"/>
      <c r="N195" s="2"/>
    </row>
    <row r="196" spans="1:14" ht="75" customHeight="1" x14ac:dyDescent="0.35">
      <c r="A196" s="4" t="s">
        <v>454</v>
      </c>
      <c r="B196" s="5" t="s">
        <v>206</v>
      </c>
      <c r="C196" s="6" t="s">
        <v>8</v>
      </c>
      <c r="D196" s="7" t="s">
        <v>9</v>
      </c>
      <c r="E196" s="8" t="s">
        <v>702</v>
      </c>
      <c r="F196" s="7" t="s">
        <v>757</v>
      </c>
      <c r="G196" s="9">
        <v>2025</v>
      </c>
      <c r="H196" s="9">
        <f t="shared" si="12"/>
        <v>1</v>
      </c>
      <c r="I196" s="7" t="s">
        <v>762</v>
      </c>
      <c r="J196" s="10" t="str">
        <f t="shared" si="13"/>
        <v>Periode 1</v>
      </c>
      <c r="K196" s="11" t="str">
        <f t="shared" si="14"/>
        <v>Aman Tanpa Masalah</v>
      </c>
      <c r="L196" s="10" t="str">
        <f t="shared" si="15"/>
        <v>Aktif Periode 1</v>
      </c>
      <c r="M196" s="2"/>
      <c r="N196" s="2"/>
    </row>
    <row r="197" spans="1:14" ht="75" customHeight="1" x14ac:dyDescent="0.35">
      <c r="A197" s="4" t="s">
        <v>455</v>
      </c>
      <c r="B197" s="5" t="s">
        <v>207</v>
      </c>
      <c r="C197" s="6" t="s">
        <v>8</v>
      </c>
      <c r="D197" s="7" t="s">
        <v>10</v>
      </c>
      <c r="E197" s="8" t="s">
        <v>703</v>
      </c>
      <c r="F197" s="7" t="s">
        <v>758</v>
      </c>
      <c r="G197" s="9">
        <v>2025</v>
      </c>
      <c r="H197" s="9">
        <f t="shared" si="12"/>
        <v>1</v>
      </c>
      <c r="I197" s="7" t="s">
        <v>762</v>
      </c>
      <c r="J197" s="10" t="str">
        <f t="shared" si="13"/>
        <v>Periode 1</v>
      </c>
      <c r="K197" s="11" t="str">
        <f t="shared" si="14"/>
        <v>Berdasarkan Permendikdasmen Nomor 7 Tahun 2025 karena:
Pasal 32. Belum memiliki sertifikat Pelatihan BCKS</v>
      </c>
      <c r="L197" s="10" t="str">
        <f t="shared" si="15"/>
        <v>Aktif Periode 1</v>
      </c>
      <c r="M197" s="2"/>
      <c r="N197" s="2"/>
    </row>
    <row r="198" spans="1:14" ht="75" customHeight="1" x14ac:dyDescent="0.35">
      <c r="A198" s="4" t="s">
        <v>456</v>
      </c>
      <c r="B198" s="5" t="s">
        <v>208</v>
      </c>
      <c r="C198" s="6" t="s">
        <v>8</v>
      </c>
      <c r="D198" s="7" t="s">
        <v>9</v>
      </c>
      <c r="E198" s="8" t="s">
        <v>704</v>
      </c>
      <c r="F198" s="7" t="s">
        <v>758</v>
      </c>
      <c r="G198" s="9">
        <v>2025</v>
      </c>
      <c r="H198" s="9">
        <f t="shared" si="12"/>
        <v>1</v>
      </c>
      <c r="I198" s="7" t="s">
        <v>762</v>
      </c>
      <c r="J198" s="10" t="str">
        <f t="shared" si="13"/>
        <v>Periode 1</v>
      </c>
      <c r="K198" s="11" t="str">
        <f t="shared" si="14"/>
        <v>Berdasarkan Permendikdasmen Nomor 7 Tahun 2025 karena:
Pasal 32. Belum memiliki sertifikat Pelatihan BCKS</v>
      </c>
      <c r="L198" s="10" t="str">
        <f t="shared" si="15"/>
        <v>Aktif Periode 1</v>
      </c>
      <c r="M198" s="2"/>
      <c r="N198" s="2"/>
    </row>
    <row r="199" spans="1:14" ht="75" customHeight="1" x14ac:dyDescent="0.35">
      <c r="A199" s="4" t="s">
        <v>457</v>
      </c>
      <c r="B199" s="5" t="s">
        <v>209</v>
      </c>
      <c r="C199" s="6" t="s">
        <v>8</v>
      </c>
      <c r="D199" s="7" t="s">
        <v>9</v>
      </c>
      <c r="E199" s="8" t="s">
        <v>705</v>
      </c>
      <c r="F199" s="7" t="s">
        <v>757</v>
      </c>
      <c r="G199" s="9">
        <v>2025</v>
      </c>
      <c r="H199" s="9">
        <f t="shared" si="12"/>
        <v>1</v>
      </c>
      <c r="I199" s="7" t="s">
        <v>762</v>
      </c>
      <c r="J199" s="10" t="str">
        <f t="shared" si="13"/>
        <v>Periode 1</v>
      </c>
      <c r="K199" s="11" t="str">
        <f t="shared" si="14"/>
        <v>Aman Tanpa Masalah</v>
      </c>
      <c r="L199" s="10" t="str">
        <f t="shared" si="15"/>
        <v>Aktif Periode 1</v>
      </c>
      <c r="M199" s="2"/>
      <c r="N199" s="2"/>
    </row>
    <row r="200" spans="1:14" ht="75" customHeight="1" x14ac:dyDescent="0.35">
      <c r="A200" s="4" t="s">
        <v>458</v>
      </c>
      <c r="B200" s="5" t="s">
        <v>210</v>
      </c>
      <c r="C200" s="6" t="s">
        <v>8</v>
      </c>
      <c r="D200" s="7" t="s">
        <v>10</v>
      </c>
      <c r="E200" s="8" t="s">
        <v>706</v>
      </c>
      <c r="F200" s="7" t="s">
        <v>758</v>
      </c>
      <c r="G200" s="9">
        <v>2025</v>
      </c>
      <c r="H200" s="9">
        <f t="shared" si="12"/>
        <v>1</v>
      </c>
      <c r="I200" s="7" t="s">
        <v>762</v>
      </c>
      <c r="J200" s="10" t="str">
        <f t="shared" si="13"/>
        <v>Periode 1</v>
      </c>
      <c r="K200" s="11" t="str">
        <f t="shared" si="14"/>
        <v>Berdasarkan Permendikdasmen Nomor 7 Tahun 2025 karena:
Pasal 32. Belum memiliki sertifikat Pelatihan BCKS</v>
      </c>
      <c r="L200" s="10" t="str">
        <f t="shared" si="15"/>
        <v>Aktif Periode 1</v>
      </c>
      <c r="M200" s="2"/>
      <c r="N200" s="2"/>
    </row>
    <row r="201" spans="1:14" ht="75" customHeight="1" x14ac:dyDescent="0.35">
      <c r="A201" s="4" t="s">
        <v>459</v>
      </c>
      <c r="B201" s="5" t="s">
        <v>211</v>
      </c>
      <c r="C201" s="6" t="s">
        <v>8</v>
      </c>
      <c r="D201" s="7" t="s">
        <v>9</v>
      </c>
      <c r="E201" s="8" t="s">
        <v>707</v>
      </c>
      <c r="F201" s="7" t="s">
        <v>758</v>
      </c>
      <c r="G201" s="9">
        <v>2010</v>
      </c>
      <c r="H201" s="9">
        <f t="shared" si="12"/>
        <v>16</v>
      </c>
      <c r="I201" s="7" t="s">
        <v>762</v>
      </c>
      <c r="J201" s="10" t="str">
        <f t="shared" si="13"/>
        <v>Lebih dari 2 Periode</v>
      </c>
      <c r="K201" s="11" t="str">
        <f t="shared" si="14"/>
        <v>Berdasarkan Permendikdasmen Nomor 7 Tahun 2025 karena:
Pasal 31. Telah melewati batas periode penugasan
Pasal 32. Belum memiliki sertifikat Pelatihan BCKS</v>
      </c>
      <c r="L201" s="10" t="str">
        <f t="shared" si="15"/>
        <v>Harus Diberhentikan</v>
      </c>
      <c r="M201" s="2"/>
      <c r="N201" s="2"/>
    </row>
    <row r="202" spans="1:14" ht="75" customHeight="1" x14ac:dyDescent="0.35">
      <c r="A202" s="4" t="s">
        <v>460</v>
      </c>
      <c r="B202" s="5" t="s">
        <v>212</v>
      </c>
      <c r="C202" s="6" t="s">
        <v>8</v>
      </c>
      <c r="D202" s="7" t="s">
        <v>10</v>
      </c>
      <c r="E202" s="8" t="s">
        <v>708</v>
      </c>
      <c r="F202" s="7" t="s">
        <v>758</v>
      </c>
      <c r="G202" s="9">
        <v>2010</v>
      </c>
      <c r="H202" s="9">
        <f t="shared" si="12"/>
        <v>16</v>
      </c>
      <c r="I202" s="7" t="s">
        <v>762</v>
      </c>
      <c r="J202" s="10" t="str">
        <f t="shared" si="13"/>
        <v>Lebih dari 2 Periode</v>
      </c>
      <c r="K202" s="11" t="str">
        <f t="shared" si="14"/>
        <v>Berdasarkan Permendikdasmen Nomor 7 Tahun 2025 karena:
Pasal 31. Telah melewati batas periode penugasan
Pasal 32. Belum memiliki sertifikat Pelatihan BCKS</v>
      </c>
      <c r="L202" s="10" t="str">
        <f t="shared" si="15"/>
        <v>Harus Diberhentikan</v>
      </c>
      <c r="M202" s="2"/>
      <c r="N202" s="2"/>
    </row>
    <row r="203" spans="1:14" ht="75" customHeight="1" x14ac:dyDescent="0.35">
      <c r="A203" s="4" t="s">
        <v>461</v>
      </c>
      <c r="B203" s="5" t="s">
        <v>213</v>
      </c>
      <c r="C203" s="6" t="s">
        <v>8</v>
      </c>
      <c r="D203" s="7" t="s">
        <v>9</v>
      </c>
      <c r="E203" s="8" t="s">
        <v>709</v>
      </c>
      <c r="F203" s="7" t="s">
        <v>757</v>
      </c>
      <c r="G203" s="9">
        <v>2010</v>
      </c>
      <c r="H203" s="9">
        <f t="shared" si="12"/>
        <v>16</v>
      </c>
      <c r="I203" s="7" t="s">
        <v>762</v>
      </c>
      <c r="J203" s="10" t="str">
        <f t="shared" si="13"/>
        <v>Lebih dari 2 Periode</v>
      </c>
      <c r="K203" s="11" t="str">
        <f t="shared" si="14"/>
        <v>Berdasarkan Permendikdasmen Nomor 7 Tahun 2025 karena:
Pasal 31. Telah melewati batas periode penugasan</v>
      </c>
      <c r="L203" s="10" t="str">
        <f t="shared" si="15"/>
        <v>Harus Diberhentikan</v>
      </c>
      <c r="M203" s="2"/>
      <c r="N203" s="2"/>
    </row>
    <row r="204" spans="1:14" ht="75" customHeight="1" x14ac:dyDescent="0.35">
      <c r="A204" s="4" t="s">
        <v>462</v>
      </c>
      <c r="B204" s="5" t="s">
        <v>214</v>
      </c>
      <c r="C204" s="6" t="s">
        <v>8</v>
      </c>
      <c r="D204" s="7" t="s">
        <v>9</v>
      </c>
      <c r="E204" s="8" t="s">
        <v>710</v>
      </c>
      <c r="F204" s="7" t="s">
        <v>758</v>
      </c>
      <c r="G204" s="9">
        <v>2020</v>
      </c>
      <c r="H204" s="9">
        <f t="shared" si="12"/>
        <v>6</v>
      </c>
      <c r="I204" s="7" t="s">
        <v>762</v>
      </c>
      <c r="J204" s="10" t="str">
        <f t="shared" si="13"/>
        <v>Periode 2</v>
      </c>
      <c r="K204" s="11" t="str">
        <f t="shared" si="14"/>
        <v>Berdasarkan Permendikdasmen Nomor 7 Tahun 2025 karena:
Pasal 32. Belum memiliki sertifikat Pelatihan BCKS</v>
      </c>
      <c r="L204" s="10" t="str">
        <f t="shared" si="15"/>
        <v>Aktif Periode 2</v>
      </c>
      <c r="M204" s="2"/>
      <c r="N204" s="2"/>
    </row>
    <row r="205" spans="1:14" ht="75" customHeight="1" x14ac:dyDescent="0.35">
      <c r="A205" s="4" t="s">
        <v>463</v>
      </c>
      <c r="B205" s="5" t="s">
        <v>215</v>
      </c>
      <c r="C205" s="6" t="s">
        <v>8</v>
      </c>
      <c r="D205" s="7" t="s">
        <v>10</v>
      </c>
      <c r="E205" s="8" t="s">
        <v>711</v>
      </c>
      <c r="F205" s="7" t="s">
        <v>758</v>
      </c>
      <c r="G205" s="9">
        <v>2020</v>
      </c>
      <c r="H205" s="9">
        <f t="shared" si="12"/>
        <v>6</v>
      </c>
      <c r="I205" s="7" t="s">
        <v>762</v>
      </c>
      <c r="J205" s="10" t="str">
        <f t="shared" si="13"/>
        <v>Periode 2</v>
      </c>
      <c r="K205" s="11" t="str">
        <f t="shared" si="14"/>
        <v>Berdasarkan Permendikdasmen Nomor 7 Tahun 2025 karena:
Pasal 32. Belum memiliki sertifikat Pelatihan BCKS</v>
      </c>
      <c r="L205" s="10" t="str">
        <f t="shared" si="15"/>
        <v>Aktif Periode 2</v>
      </c>
      <c r="M205" s="2"/>
      <c r="N205" s="2"/>
    </row>
    <row r="206" spans="1:14" ht="75" customHeight="1" x14ac:dyDescent="0.35">
      <c r="A206" s="4" t="s">
        <v>464</v>
      </c>
      <c r="B206" s="5" t="s">
        <v>216</v>
      </c>
      <c r="C206" s="6" t="s">
        <v>8</v>
      </c>
      <c r="D206" s="7" t="s">
        <v>9</v>
      </c>
      <c r="E206" s="8" t="s">
        <v>712</v>
      </c>
      <c r="F206" s="7" t="s">
        <v>758</v>
      </c>
      <c r="G206" s="9">
        <v>2020</v>
      </c>
      <c r="H206" s="9">
        <f t="shared" si="12"/>
        <v>6</v>
      </c>
      <c r="I206" s="7" t="s">
        <v>762</v>
      </c>
      <c r="J206" s="10" t="str">
        <f t="shared" si="13"/>
        <v>Periode 2</v>
      </c>
      <c r="K206" s="11" t="str">
        <f t="shared" si="14"/>
        <v>Berdasarkan Permendikdasmen Nomor 7 Tahun 2025 karena:
Pasal 32. Belum memiliki sertifikat Pelatihan BCKS</v>
      </c>
      <c r="L206" s="10" t="str">
        <f t="shared" si="15"/>
        <v>Aktif Periode 2</v>
      </c>
      <c r="M206" s="2"/>
      <c r="N206" s="2"/>
    </row>
    <row r="207" spans="1:14" ht="75" customHeight="1" x14ac:dyDescent="0.35">
      <c r="A207" s="4" t="s">
        <v>465</v>
      </c>
      <c r="B207" s="5" t="s">
        <v>217</v>
      </c>
      <c r="C207" s="6" t="s">
        <v>8</v>
      </c>
      <c r="D207" s="7" t="s">
        <v>9</v>
      </c>
      <c r="E207" s="8" t="s">
        <v>713</v>
      </c>
      <c r="F207" s="7" t="s">
        <v>757</v>
      </c>
      <c r="G207" s="9">
        <v>2020</v>
      </c>
      <c r="H207" s="9">
        <f t="shared" si="12"/>
        <v>6</v>
      </c>
      <c r="I207" s="7" t="s">
        <v>762</v>
      </c>
      <c r="J207" s="10" t="str">
        <f t="shared" si="13"/>
        <v>Periode 2</v>
      </c>
      <c r="K207" s="11" t="str">
        <f t="shared" si="14"/>
        <v>Aman Tanpa Masalah</v>
      </c>
      <c r="L207" s="10" t="str">
        <f t="shared" si="15"/>
        <v>Aktif Periode 2</v>
      </c>
      <c r="M207" s="2"/>
      <c r="N207" s="2"/>
    </row>
    <row r="208" spans="1:14" ht="75" customHeight="1" x14ac:dyDescent="0.35">
      <c r="A208" s="4" t="s">
        <v>466</v>
      </c>
      <c r="B208" s="5" t="s">
        <v>218</v>
      </c>
      <c r="C208" s="6" t="s">
        <v>8</v>
      </c>
      <c r="D208" s="7" t="s">
        <v>9</v>
      </c>
      <c r="E208" s="8" t="s">
        <v>714</v>
      </c>
      <c r="F208" s="7" t="s">
        <v>758</v>
      </c>
      <c r="G208" s="9">
        <v>2020</v>
      </c>
      <c r="H208" s="9">
        <f t="shared" si="12"/>
        <v>6</v>
      </c>
      <c r="I208" s="7" t="s">
        <v>762</v>
      </c>
      <c r="J208" s="10" t="str">
        <f t="shared" si="13"/>
        <v>Periode 2</v>
      </c>
      <c r="K208" s="11" t="str">
        <f t="shared" si="14"/>
        <v>Berdasarkan Permendikdasmen Nomor 7 Tahun 2025 karena:
Pasal 32. Belum memiliki sertifikat Pelatihan BCKS</v>
      </c>
      <c r="L208" s="10" t="str">
        <f t="shared" si="15"/>
        <v>Aktif Periode 2</v>
      </c>
      <c r="M208" s="2"/>
      <c r="N208" s="2"/>
    </row>
    <row r="209" spans="1:14" ht="75" customHeight="1" x14ac:dyDescent="0.35">
      <c r="A209" s="4" t="s">
        <v>467</v>
      </c>
      <c r="B209" s="5" t="s">
        <v>219</v>
      </c>
      <c r="C209" s="6" t="s">
        <v>8</v>
      </c>
      <c r="D209" s="7" t="s">
        <v>9</v>
      </c>
      <c r="E209" s="8" t="s">
        <v>715</v>
      </c>
      <c r="F209" s="7" t="s">
        <v>758</v>
      </c>
      <c r="G209" s="9">
        <v>2020</v>
      </c>
      <c r="H209" s="9">
        <f t="shared" si="12"/>
        <v>6</v>
      </c>
      <c r="I209" s="7" t="s">
        <v>762</v>
      </c>
      <c r="J209" s="10" t="str">
        <f t="shared" si="13"/>
        <v>Periode 2</v>
      </c>
      <c r="K209" s="11" t="str">
        <f t="shared" si="14"/>
        <v>Berdasarkan Permendikdasmen Nomor 7 Tahun 2025 karena:
Pasal 32. Belum memiliki sertifikat Pelatihan BCKS</v>
      </c>
      <c r="L209" s="10" t="str">
        <f t="shared" si="15"/>
        <v>Aktif Periode 2</v>
      </c>
      <c r="M209" s="2"/>
      <c r="N209" s="2"/>
    </row>
    <row r="210" spans="1:14" ht="75" customHeight="1" x14ac:dyDescent="0.35">
      <c r="A210" s="4" t="s">
        <v>468</v>
      </c>
      <c r="B210" s="5" t="s">
        <v>220</v>
      </c>
      <c r="C210" s="6" t="s">
        <v>8</v>
      </c>
      <c r="D210" s="7" t="s">
        <v>9</v>
      </c>
      <c r="E210" s="8" t="s">
        <v>716</v>
      </c>
      <c r="F210" s="7" t="s">
        <v>758</v>
      </c>
      <c r="G210" s="9">
        <v>2020</v>
      </c>
      <c r="H210" s="9">
        <f t="shared" si="12"/>
        <v>6</v>
      </c>
      <c r="I210" s="7" t="s">
        <v>762</v>
      </c>
      <c r="J210" s="10" t="str">
        <f t="shared" si="13"/>
        <v>Periode 2</v>
      </c>
      <c r="K210" s="11" t="str">
        <f t="shared" si="14"/>
        <v>Berdasarkan Permendikdasmen Nomor 7 Tahun 2025 karena:
Pasal 32. Belum memiliki sertifikat Pelatihan BCKS</v>
      </c>
      <c r="L210" s="10" t="str">
        <f t="shared" si="15"/>
        <v>Aktif Periode 2</v>
      </c>
      <c r="M210" s="2"/>
      <c r="N210" s="2"/>
    </row>
    <row r="211" spans="1:14" ht="75" customHeight="1" x14ac:dyDescent="0.35">
      <c r="A211" s="4" t="s">
        <v>469</v>
      </c>
      <c r="B211" s="5" t="s">
        <v>221</v>
      </c>
      <c r="C211" s="6" t="s">
        <v>8</v>
      </c>
      <c r="D211" s="7" t="s">
        <v>9</v>
      </c>
      <c r="E211" s="8" t="s">
        <v>717</v>
      </c>
      <c r="F211" s="7" t="s">
        <v>757</v>
      </c>
      <c r="G211" s="9">
        <v>2020</v>
      </c>
      <c r="H211" s="9">
        <f t="shared" si="12"/>
        <v>6</v>
      </c>
      <c r="I211" s="7" t="s">
        <v>762</v>
      </c>
      <c r="J211" s="10" t="str">
        <f t="shared" si="13"/>
        <v>Periode 2</v>
      </c>
      <c r="K211" s="11" t="str">
        <f t="shared" si="14"/>
        <v>Aman Tanpa Masalah</v>
      </c>
      <c r="L211" s="10" t="str">
        <f t="shared" si="15"/>
        <v>Aktif Periode 2</v>
      </c>
      <c r="M211" s="2"/>
      <c r="N211" s="2"/>
    </row>
    <row r="212" spans="1:14" ht="75" customHeight="1" x14ac:dyDescent="0.35">
      <c r="A212" s="4" t="s">
        <v>470</v>
      </c>
      <c r="B212" s="5" t="s">
        <v>222</v>
      </c>
      <c r="C212" s="6" t="s">
        <v>8</v>
      </c>
      <c r="D212" s="7" t="s">
        <v>10</v>
      </c>
      <c r="E212" s="8" t="s">
        <v>718</v>
      </c>
      <c r="F212" s="7" t="s">
        <v>758</v>
      </c>
      <c r="G212" s="9">
        <v>2010</v>
      </c>
      <c r="H212" s="9">
        <f t="shared" si="12"/>
        <v>16</v>
      </c>
      <c r="I212" s="7" t="s">
        <v>762</v>
      </c>
      <c r="J212" s="10" t="str">
        <f t="shared" si="13"/>
        <v>Lebih dari 2 Periode</v>
      </c>
      <c r="K212" s="11" t="str">
        <f t="shared" si="14"/>
        <v>Berdasarkan Permendikdasmen Nomor 7 Tahun 2025 karena:
Pasal 31. Telah melewati batas periode penugasan
Pasal 32. Belum memiliki sertifikat Pelatihan BCKS</v>
      </c>
      <c r="L212" s="10" t="str">
        <f t="shared" si="15"/>
        <v>Harus Diberhentikan</v>
      </c>
      <c r="M212" s="2"/>
      <c r="N212" s="2"/>
    </row>
    <row r="213" spans="1:14" ht="75" customHeight="1" x14ac:dyDescent="0.35">
      <c r="A213" s="4" t="s">
        <v>471</v>
      </c>
      <c r="B213" s="5" t="s">
        <v>223</v>
      </c>
      <c r="C213" s="6" t="s">
        <v>8</v>
      </c>
      <c r="D213" s="7" t="s">
        <v>9</v>
      </c>
      <c r="E213" s="8" t="s">
        <v>719</v>
      </c>
      <c r="F213" s="7" t="s">
        <v>758</v>
      </c>
      <c r="G213" s="9">
        <v>2010</v>
      </c>
      <c r="H213" s="9">
        <f t="shared" si="12"/>
        <v>16</v>
      </c>
      <c r="I213" s="7" t="s">
        <v>762</v>
      </c>
      <c r="J213" s="10" t="str">
        <f t="shared" si="13"/>
        <v>Lebih dari 2 Periode</v>
      </c>
      <c r="K213" s="11" t="str">
        <f t="shared" si="14"/>
        <v>Berdasarkan Permendikdasmen Nomor 7 Tahun 2025 karena:
Pasal 31. Telah melewati batas periode penugasan
Pasal 32. Belum memiliki sertifikat Pelatihan BCKS</v>
      </c>
      <c r="L213" s="10" t="str">
        <f t="shared" si="15"/>
        <v>Harus Diberhentikan</v>
      </c>
      <c r="M213" s="2"/>
      <c r="N213" s="2"/>
    </row>
    <row r="214" spans="1:14" ht="75" customHeight="1" x14ac:dyDescent="0.35">
      <c r="A214" s="4" t="s">
        <v>472</v>
      </c>
      <c r="B214" s="5" t="s">
        <v>224</v>
      </c>
      <c r="C214" s="6" t="s">
        <v>8</v>
      </c>
      <c r="D214" s="7" t="s">
        <v>9</v>
      </c>
      <c r="E214" s="8" t="s">
        <v>720</v>
      </c>
      <c r="F214" s="7" t="s">
        <v>757</v>
      </c>
      <c r="G214" s="9">
        <v>2010</v>
      </c>
      <c r="H214" s="9">
        <f t="shared" si="12"/>
        <v>16</v>
      </c>
      <c r="I214" s="7" t="s">
        <v>762</v>
      </c>
      <c r="J214" s="10" t="str">
        <f t="shared" si="13"/>
        <v>Lebih dari 2 Periode</v>
      </c>
      <c r="K214" s="11" t="str">
        <f t="shared" si="14"/>
        <v>Berdasarkan Permendikdasmen Nomor 7 Tahun 2025 karena:
Pasal 31. Telah melewati batas periode penugasan</v>
      </c>
      <c r="L214" s="10" t="str">
        <f t="shared" si="15"/>
        <v>Harus Diberhentikan</v>
      </c>
      <c r="M214" s="2"/>
      <c r="N214" s="2"/>
    </row>
    <row r="215" spans="1:14" ht="75" customHeight="1" x14ac:dyDescent="0.35">
      <c r="A215" s="4" t="s">
        <v>473</v>
      </c>
      <c r="B215" s="5" t="s">
        <v>225</v>
      </c>
      <c r="C215" s="6" t="s">
        <v>8</v>
      </c>
      <c r="D215" s="7" t="s">
        <v>9</v>
      </c>
      <c r="E215" s="8" t="s">
        <v>721</v>
      </c>
      <c r="F215" s="7" t="s">
        <v>758</v>
      </c>
      <c r="G215" s="9">
        <v>2019</v>
      </c>
      <c r="H215" s="9">
        <f t="shared" si="12"/>
        <v>7</v>
      </c>
      <c r="I215" s="7" t="s">
        <v>762</v>
      </c>
      <c r="J215" s="10" t="str">
        <f t="shared" si="13"/>
        <v>Periode 2</v>
      </c>
      <c r="K215" s="11" t="str">
        <f t="shared" si="14"/>
        <v>Berdasarkan Permendikdasmen Nomor 7 Tahun 2025 karena:
Pasal 32. Belum memiliki sertifikat Pelatihan BCKS</v>
      </c>
      <c r="L215" s="10" t="str">
        <f t="shared" si="15"/>
        <v>Aktif Periode 2</v>
      </c>
      <c r="M215" s="2"/>
      <c r="N215" s="2"/>
    </row>
    <row r="216" spans="1:14" ht="75" customHeight="1" x14ac:dyDescent="0.35">
      <c r="A216" s="4" t="s">
        <v>474</v>
      </c>
      <c r="B216" s="5" t="s">
        <v>226</v>
      </c>
      <c r="C216" s="6" t="s">
        <v>8</v>
      </c>
      <c r="D216" s="7" t="s">
        <v>9</v>
      </c>
      <c r="E216" s="8" t="s">
        <v>722</v>
      </c>
      <c r="F216" s="7" t="s">
        <v>758</v>
      </c>
      <c r="G216" s="9">
        <v>2019</v>
      </c>
      <c r="H216" s="9">
        <f t="shared" si="12"/>
        <v>7</v>
      </c>
      <c r="I216" s="7" t="s">
        <v>762</v>
      </c>
      <c r="J216" s="10" t="str">
        <f t="shared" si="13"/>
        <v>Periode 2</v>
      </c>
      <c r="K216" s="11" t="str">
        <f t="shared" si="14"/>
        <v>Berdasarkan Permendikdasmen Nomor 7 Tahun 2025 karena:
Pasal 32. Belum memiliki sertifikat Pelatihan BCKS</v>
      </c>
      <c r="L216" s="10" t="str">
        <f t="shared" si="15"/>
        <v>Aktif Periode 2</v>
      </c>
      <c r="M216" s="2"/>
      <c r="N216" s="2"/>
    </row>
    <row r="217" spans="1:14" ht="75" customHeight="1" x14ac:dyDescent="0.35">
      <c r="A217" s="4" t="s">
        <v>475</v>
      </c>
      <c r="B217" s="5" t="s">
        <v>227</v>
      </c>
      <c r="C217" s="6" t="s">
        <v>8</v>
      </c>
      <c r="D217" s="7" t="s">
        <v>9</v>
      </c>
      <c r="E217" s="8" t="s">
        <v>723</v>
      </c>
      <c r="F217" s="7" t="s">
        <v>758</v>
      </c>
      <c r="G217" s="9">
        <v>2019</v>
      </c>
      <c r="H217" s="9">
        <f t="shared" si="12"/>
        <v>7</v>
      </c>
      <c r="I217" s="7" t="s">
        <v>762</v>
      </c>
      <c r="J217" s="10" t="str">
        <f t="shared" si="13"/>
        <v>Periode 2</v>
      </c>
      <c r="K217" s="11" t="str">
        <f t="shared" si="14"/>
        <v>Berdasarkan Permendikdasmen Nomor 7 Tahun 2025 karena:
Pasal 32. Belum memiliki sertifikat Pelatihan BCKS</v>
      </c>
      <c r="L217" s="10" t="str">
        <f t="shared" si="15"/>
        <v>Aktif Periode 2</v>
      </c>
      <c r="M217" s="2"/>
      <c r="N217" s="2"/>
    </row>
    <row r="218" spans="1:14" ht="75" customHeight="1" x14ac:dyDescent="0.35">
      <c r="A218" s="4" t="s">
        <v>476</v>
      </c>
      <c r="B218" s="5" t="s">
        <v>228</v>
      </c>
      <c r="C218" s="6" t="s">
        <v>8</v>
      </c>
      <c r="D218" s="7" t="s">
        <v>9</v>
      </c>
      <c r="E218" s="8" t="s">
        <v>724</v>
      </c>
      <c r="F218" s="7" t="s">
        <v>757</v>
      </c>
      <c r="G218" s="9">
        <v>2019</v>
      </c>
      <c r="H218" s="9">
        <f t="shared" si="12"/>
        <v>7</v>
      </c>
      <c r="I218" s="7" t="s">
        <v>762</v>
      </c>
      <c r="J218" s="10" t="str">
        <f t="shared" si="13"/>
        <v>Periode 2</v>
      </c>
      <c r="K218" s="11" t="str">
        <f t="shared" si="14"/>
        <v>Aman Tanpa Masalah</v>
      </c>
      <c r="L218" s="10" t="str">
        <f t="shared" si="15"/>
        <v>Aktif Periode 2</v>
      </c>
      <c r="M218" s="2"/>
      <c r="N218" s="2"/>
    </row>
    <row r="219" spans="1:14" ht="75" customHeight="1" x14ac:dyDescent="0.35">
      <c r="A219" s="4" t="s">
        <v>477</v>
      </c>
      <c r="B219" s="5" t="s">
        <v>229</v>
      </c>
      <c r="C219" s="6" t="s">
        <v>8</v>
      </c>
      <c r="D219" s="7" t="s">
        <v>9</v>
      </c>
      <c r="E219" s="8" t="s">
        <v>725</v>
      </c>
      <c r="F219" s="7" t="s">
        <v>758</v>
      </c>
      <c r="G219" s="9">
        <v>2019</v>
      </c>
      <c r="H219" s="9">
        <f t="shared" si="12"/>
        <v>7</v>
      </c>
      <c r="I219" s="7" t="s">
        <v>762</v>
      </c>
      <c r="J219" s="10" t="str">
        <f t="shared" si="13"/>
        <v>Periode 2</v>
      </c>
      <c r="K219" s="11" t="str">
        <f t="shared" si="14"/>
        <v>Berdasarkan Permendikdasmen Nomor 7 Tahun 2025 karena:
Pasal 32. Belum memiliki sertifikat Pelatihan BCKS</v>
      </c>
      <c r="L219" s="10" t="str">
        <f t="shared" si="15"/>
        <v>Aktif Periode 2</v>
      </c>
      <c r="M219" s="2"/>
      <c r="N219" s="2"/>
    </row>
    <row r="220" spans="1:14" ht="75" customHeight="1" x14ac:dyDescent="0.35">
      <c r="A220" s="4" t="s">
        <v>478</v>
      </c>
      <c r="B220" s="5" t="s">
        <v>230</v>
      </c>
      <c r="C220" s="6" t="s">
        <v>8</v>
      </c>
      <c r="D220" s="7" t="s">
        <v>9</v>
      </c>
      <c r="E220" s="8" t="s">
        <v>726</v>
      </c>
      <c r="F220" s="7" t="s">
        <v>758</v>
      </c>
      <c r="G220" s="9">
        <v>2010</v>
      </c>
      <c r="H220" s="9">
        <f t="shared" si="12"/>
        <v>16</v>
      </c>
      <c r="I220" s="7" t="s">
        <v>762</v>
      </c>
      <c r="J220" s="10" t="str">
        <f t="shared" si="13"/>
        <v>Lebih dari 2 Periode</v>
      </c>
      <c r="K220" s="11" t="str">
        <f t="shared" si="14"/>
        <v>Berdasarkan Permendikdasmen Nomor 7 Tahun 2025 karena:
Pasal 31. Telah melewati batas periode penugasan
Pasal 32. Belum memiliki sertifikat Pelatihan BCKS</v>
      </c>
      <c r="L220" s="10" t="str">
        <f t="shared" si="15"/>
        <v>Harus Diberhentikan</v>
      </c>
      <c r="M220" s="2"/>
      <c r="N220" s="2"/>
    </row>
    <row r="221" spans="1:14" ht="75" customHeight="1" x14ac:dyDescent="0.35">
      <c r="A221" s="4" t="s">
        <v>479</v>
      </c>
      <c r="B221" s="5" t="s">
        <v>231</v>
      </c>
      <c r="C221" s="6" t="s">
        <v>8</v>
      </c>
      <c r="D221" s="7" t="s">
        <v>10</v>
      </c>
      <c r="E221" s="8" t="s">
        <v>727</v>
      </c>
      <c r="F221" s="7" t="s">
        <v>758</v>
      </c>
      <c r="G221" s="9">
        <v>2018</v>
      </c>
      <c r="H221" s="9">
        <f t="shared" si="12"/>
        <v>8</v>
      </c>
      <c r="I221" s="7" t="s">
        <v>762</v>
      </c>
      <c r="J221" s="10" t="str">
        <f t="shared" si="13"/>
        <v>Periode 2</v>
      </c>
      <c r="K221" s="11" t="str">
        <f t="shared" si="14"/>
        <v>Berdasarkan Permendikdasmen Nomor 7 Tahun 2025 karena:
Pasal 32. Belum memiliki sertifikat Pelatihan BCKS</v>
      </c>
      <c r="L221" s="10" t="str">
        <f t="shared" si="15"/>
        <v>Aktif Periode 2</v>
      </c>
      <c r="M221" s="2"/>
      <c r="N221" s="2"/>
    </row>
    <row r="222" spans="1:14" ht="75" customHeight="1" x14ac:dyDescent="0.35">
      <c r="A222" s="4" t="s">
        <v>480</v>
      </c>
      <c r="B222" s="5" t="s">
        <v>232</v>
      </c>
      <c r="C222" s="6" t="s">
        <v>8</v>
      </c>
      <c r="D222" s="7" t="s">
        <v>9</v>
      </c>
      <c r="E222" s="8" t="s">
        <v>728</v>
      </c>
      <c r="F222" s="7" t="s">
        <v>757</v>
      </c>
      <c r="G222" s="9">
        <v>2018</v>
      </c>
      <c r="H222" s="9">
        <f t="shared" si="12"/>
        <v>8</v>
      </c>
      <c r="I222" s="7" t="s">
        <v>762</v>
      </c>
      <c r="J222" s="10" t="str">
        <f t="shared" si="13"/>
        <v>Periode 2</v>
      </c>
      <c r="K222" s="11" t="str">
        <f t="shared" si="14"/>
        <v>Aman Tanpa Masalah</v>
      </c>
      <c r="L222" s="10" t="str">
        <f t="shared" si="15"/>
        <v>Aktif Periode 2</v>
      </c>
      <c r="M222" s="2"/>
      <c r="N222" s="2"/>
    </row>
    <row r="223" spans="1:14" ht="75" customHeight="1" x14ac:dyDescent="0.35">
      <c r="A223" s="4" t="s">
        <v>481</v>
      </c>
      <c r="B223" s="5" t="s">
        <v>233</v>
      </c>
      <c r="C223" s="6" t="s">
        <v>8</v>
      </c>
      <c r="D223" s="7" t="s">
        <v>10</v>
      </c>
      <c r="E223" s="8" t="s">
        <v>729</v>
      </c>
      <c r="F223" s="7" t="s">
        <v>758</v>
      </c>
      <c r="G223" s="9">
        <v>2018</v>
      </c>
      <c r="H223" s="9">
        <f t="shared" si="12"/>
        <v>8</v>
      </c>
      <c r="I223" s="7" t="s">
        <v>762</v>
      </c>
      <c r="J223" s="10" t="str">
        <f t="shared" si="13"/>
        <v>Periode 2</v>
      </c>
      <c r="K223" s="11" t="str">
        <f t="shared" si="14"/>
        <v>Berdasarkan Permendikdasmen Nomor 7 Tahun 2025 karena:
Pasal 32. Belum memiliki sertifikat Pelatihan BCKS</v>
      </c>
      <c r="L223" s="10" t="str">
        <f t="shared" si="15"/>
        <v>Aktif Periode 2</v>
      </c>
      <c r="M223" s="2"/>
      <c r="N223" s="2"/>
    </row>
    <row r="224" spans="1:14" ht="75" customHeight="1" x14ac:dyDescent="0.35">
      <c r="A224" s="4" t="s">
        <v>482</v>
      </c>
      <c r="B224" s="5" t="s">
        <v>234</v>
      </c>
      <c r="C224" s="6" t="s">
        <v>8</v>
      </c>
      <c r="D224" s="7" t="s">
        <v>9</v>
      </c>
      <c r="E224" s="8" t="s">
        <v>730</v>
      </c>
      <c r="F224" s="7" t="s">
        <v>758</v>
      </c>
      <c r="G224" s="9">
        <v>2018</v>
      </c>
      <c r="H224" s="9">
        <f t="shared" si="12"/>
        <v>8</v>
      </c>
      <c r="I224" s="7" t="s">
        <v>762</v>
      </c>
      <c r="J224" s="10" t="str">
        <f t="shared" si="13"/>
        <v>Periode 2</v>
      </c>
      <c r="K224" s="11" t="str">
        <f t="shared" si="14"/>
        <v>Berdasarkan Permendikdasmen Nomor 7 Tahun 2025 karena:
Pasal 32. Belum memiliki sertifikat Pelatihan BCKS</v>
      </c>
      <c r="L224" s="10" t="str">
        <f t="shared" si="15"/>
        <v>Aktif Periode 2</v>
      </c>
      <c r="M224" s="2"/>
      <c r="N224" s="2"/>
    </row>
    <row r="225" spans="1:14" ht="75" customHeight="1" x14ac:dyDescent="0.35">
      <c r="A225" s="4" t="s">
        <v>483</v>
      </c>
      <c r="B225" s="5" t="s">
        <v>235</v>
      </c>
      <c r="C225" s="6" t="s">
        <v>8</v>
      </c>
      <c r="D225" s="7" t="s">
        <v>10</v>
      </c>
      <c r="E225" s="8" t="s">
        <v>731</v>
      </c>
      <c r="F225" s="7" t="s">
        <v>758</v>
      </c>
      <c r="G225" s="9">
        <v>2018</v>
      </c>
      <c r="H225" s="9">
        <f t="shared" si="12"/>
        <v>8</v>
      </c>
      <c r="I225" s="7" t="s">
        <v>762</v>
      </c>
      <c r="J225" s="10" t="str">
        <f t="shared" si="13"/>
        <v>Periode 2</v>
      </c>
      <c r="K225" s="11" t="str">
        <f t="shared" si="14"/>
        <v>Berdasarkan Permendikdasmen Nomor 7 Tahun 2025 karena:
Pasal 32. Belum memiliki sertifikat Pelatihan BCKS</v>
      </c>
      <c r="L225" s="10" t="str">
        <f t="shared" si="15"/>
        <v>Aktif Periode 2</v>
      </c>
      <c r="M225" s="2"/>
      <c r="N225" s="2"/>
    </row>
    <row r="226" spans="1:14" ht="75" customHeight="1" x14ac:dyDescent="0.35">
      <c r="A226" s="4" t="s">
        <v>484</v>
      </c>
      <c r="B226" s="5" t="s">
        <v>236</v>
      </c>
      <c r="C226" s="6" t="s">
        <v>8</v>
      </c>
      <c r="D226" s="7" t="s">
        <v>9</v>
      </c>
      <c r="E226" s="8" t="s">
        <v>732</v>
      </c>
      <c r="F226" s="7" t="s">
        <v>757</v>
      </c>
      <c r="G226" s="9">
        <v>2018</v>
      </c>
      <c r="H226" s="9">
        <f t="shared" si="12"/>
        <v>8</v>
      </c>
      <c r="I226" s="7" t="s">
        <v>762</v>
      </c>
      <c r="J226" s="10" t="str">
        <f t="shared" si="13"/>
        <v>Periode 2</v>
      </c>
      <c r="K226" s="11" t="str">
        <f t="shared" si="14"/>
        <v>Aman Tanpa Masalah</v>
      </c>
      <c r="L226" s="10" t="str">
        <f t="shared" si="15"/>
        <v>Aktif Periode 2</v>
      </c>
      <c r="M226" s="2"/>
      <c r="N226" s="2"/>
    </row>
    <row r="227" spans="1:14" ht="75" customHeight="1" x14ac:dyDescent="0.35">
      <c r="A227" s="4" t="s">
        <v>485</v>
      </c>
      <c r="B227" s="5" t="s">
        <v>237</v>
      </c>
      <c r="C227" s="6" t="s">
        <v>8</v>
      </c>
      <c r="D227" s="7" t="s">
        <v>10</v>
      </c>
      <c r="E227" s="8" t="s">
        <v>733</v>
      </c>
      <c r="F227" s="7" t="s">
        <v>758</v>
      </c>
      <c r="G227" s="9">
        <v>2018</v>
      </c>
      <c r="H227" s="9">
        <f t="shared" si="12"/>
        <v>8</v>
      </c>
      <c r="I227" s="7" t="s">
        <v>762</v>
      </c>
      <c r="J227" s="10" t="str">
        <f t="shared" si="13"/>
        <v>Periode 2</v>
      </c>
      <c r="K227" s="11" t="str">
        <f t="shared" si="14"/>
        <v>Berdasarkan Permendikdasmen Nomor 7 Tahun 2025 karena:
Pasal 32. Belum memiliki sertifikat Pelatihan BCKS</v>
      </c>
      <c r="L227" s="10" t="str">
        <f t="shared" si="15"/>
        <v>Aktif Periode 2</v>
      </c>
      <c r="M227" s="2"/>
      <c r="N227" s="2"/>
    </row>
    <row r="228" spans="1:14" ht="75" customHeight="1" x14ac:dyDescent="0.35">
      <c r="A228" s="4" t="s">
        <v>486</v>
      </c>
      <c r="B228" s="5" t="s">
        <v>238</v>
      </c>
      <c r="C228" s="6" t="s">
        <v>8</v>
      </c>
      <c r="D228" s="7" t="s">
        <v>10</v>
      </c>
      <c r="E228" s="8" t="s">
        <v>734</v>
      </c>
      <c r="F228" s="7" t="s">
        <v>758</v>
      </c>
      <c r="G228" s="9">
        <v>2018</v>
      </c>
      <c r="H228" s="9">
        <f t="shared" si="12"/>
        <v>8</v>
      </c>
      <c r="I228" s="7" t="s">
        <v>762</v>
      </c>
      <c r="J228" s="10" t="str">
        <f t="shared" si="13"/>
        <v>Periode 2</v>
      </c>
      <c r="K228" s="11" t="str">
        <f t="shared" si="14"/>
        <v>Berdasarkan Permendikdasmen Nomor 7 Tahun 2025 karena:
Pasal 32. Belum memiliki sertifikat Pelatihan BCKS</v>
      </c>
      <c r="L228" s="10" t="str">
        <f t="shared" si="15"/>
        <v>Aktif Periode 2</v>
      </c>
      <c r="M228" s="2"/>
      <c r="N228" s="2"/>
    </row>
    <row r="229" spans="1:14" ht="75" customHeight="1" x14ac:dyDescent="0.35">
      <c r="A229" s="4" t="s">
        <v>487</v>
      </c>
      <c r="B229" s="5" t="s">
        <v>239</v>
      </c>
      <c r="C229" s="6" t="s">
        <v>8</v>
      </c>
      <c r="D229" s="7" t="s">
        <v>10</v>
      </c>
      <c r="E229" s="8" t="s">
        <v>735</v>
      </c>
      <c r="F229" s="7" t="s">
        <v>757</v>
      </c>
      <c r="G229" s="9">
        <v>2018</v>
      </c>
      <c r="H229" s="9">
        <f t="shared" si="12"/>
        <v>8</v>
      </c>
      <c r="I229" s="7" t="s">
        <v>762</v>
      </c>
      <c r="J229" s="10" t="str">
        <f t="shared" si="13"/>
        <v>Periode 2</v>
      </c>
      <c r="K229" s="11" t="str">
        <f t="shared" si="14"/>
        <v>Aman Tanpa Masalah</v>
      </c>
      <c r="L229" s="10" t="str">
        <f t="shared" si="15"/>
        <v>Aktif Periode 2</v>
      </c>
      <c r="M229" s="2"/>
      <c r="N229" s="2"/>
    </row>
    <row r="230" spans="1:14" ht="75" customHeight="1" x14ac:dyDescent="0.35">
      <c r="A230" s="4" t="s">
        <v>488</v>
      </c>
      <c r="B230" s="5" t="s">
        <v>240</v>
      </c>
      <c r="C230" s="6" t="s">
        <v>8</v>
      </c>
      <c r="D230" s="7" t="s">
        <v>10</v>
      </c>
      <c r="E230" s="8" t="s">
        <v>736</v>
      </c>
      <c r="F230" s="7" t="s">
        <v>758</v>
      </c>
      <c r="G230" s="9">
        <v>2018</v>
      </c>
      <c r="H230" s="9">
        <f t="shared" si="12"/>
        <v>8</v>
      </c>
      <c r="I230" s="7" t="s">
        <v>762</v>
      </c>
      <c r="J230" s="10" t="str">
        <f t="shared" si="13"/>
        <v>Periode 2</v>
      </c>
      <c r="K230" s="11" t="str">
        <f t="shared" si="14"/>
        <v>Berdasarkan Permendikdasmen Nomor 7 Tahun 2025 karena:
Pasal 32. Belum memiliki sertifikat Pelatihan BCKS</v>
      </c>
      <c r="L230" s="10" t="str">
        <f t="shared" si="15"/>
        <v>Aktif Periode 2</v>
      </c>
      <c r="M230" s="2"/>
      <c r="N230" s="2"/>
    </row>
    <row r="231" spans="1:14" ht="75" customHeight="1" x14ac:dyDescent="0.35">
      <c r="A231" s="4" t="s">
        <v>489</v>
      </c>
      <c r="B231" s="5" t="s">
        <v>241</v>
      </c>
      <c r="C231" s="6" t="s">
        <v>8</v>
      </c>
      <c r="D231" s="7" t="s">
        <v>11</v>
      </c>
      <c r="E231" s="8" t="s">
        <v>737</v>
      </c>
      <c r="F231" s="7" t="s">
        <v>758</v>
      </c>
      <c r="G231" s="9">
        <v>2018</v>
      </c>
      <c r="H231" s="9">
        <f t="shared" si="12"/>
        <v>8</v>
      </c>
      <c r="I231" s="7" t="s">
        <v>762</v>
      </c>
      <c r="J231" s="10" t="str">
        <f t="shared" si="13"/>
        <v>Periode 2</v>
      </c>
      <c r="K231" s="11" t="str">
        <f t="shared" si="14"/>
        <v>Berdasarkan Permendikdasmen Nomor 7 Tahun 2025 karena:
Pasal 32. Belum memiliki sertifikat Pelatihan BCKS</v>
      </c>
      <c r="L231" s="10" t="str">
        <f t="shared" si="15"/>
        <v>Aktif Periode 2</v>
      </c>
      <c r="M231" s="2"/>
      <c r="N231" s="2"/>
    </row>
    <row r="232" spans="1:14" ht="75" customHeight="1" x14ac:dyDescent="0.35">
      <c r="A232" s="4" t="s">
        <v>490</v>
      </c>
      <c r="B232" s="5" t="s">
        <v>242</v>
      </c>
      <c r="C232" s="6" t="s">
        <v>8</v>
      </c>
      <c r="D232" s="7" t="s">
        <v>10</v>
      </c>
      <c r="E232" s="8" t="s">
        <v>738</v>
      </c>
      <c r="F232" s="7" t="s">
        <v>758</v>
      </c>
      <c r="G232" s="9">
        <v>2010</v>
      </c>
      <c r="H232" s="9">
        <f t="shared" si="12"/>
        <v>16</v>
      </c>
      <c r="I232" s="7" t="s">
        <v>762</v>
      </c>
      <c r="J232" s="10" t="str">
        <f t="shared" si="13"/>
        <v>Lebih dari 2 Periode</v>
      </c>
      <c r="K232" s="11" t="str">
        <f t="shared" si="14"/>
        <v>Berdasarkan Permendikdasmen Nomor 7 Tahun 2025 karena:
Pasal 31. Telah melewati batas periode penugasan
Pasal 32. Belum memiliki sertifikat Pelatihan BCKS</v>
      </c>
      <c r="L232" s="10" t="str">
        <f t="shared" si="15"/>
        <v>Harus Diberhentikan</v>
      </c>
      <c r="M232" s="2"/>
      <c r="N232" s="2"/>
    </row>
    <row r="233" spans="1:14" ht="75" customHeight="1" x14ac:dyDescent="0.35">
      <c r="A233" s="4" t="s">
        <v>491</v>
      </c>
      <c r="B233" s="5" t="s">
        <v>243</v>
      </c>
      <c r="C233" s="6" t="s">
        <v>8</v>
      </c>
      <c r="D233" s="7" t="s">
        <v>10</v>
      </c>
      <c r="E233" s="8" t="s">
        <v>739</v>
      </c>
      <c r="F233" s="7" t="s">
        <v>757</v>
      </c>
      <c r="G233" s="9">
        <v>2010</v>
      </c>
      <c r="H233" s="9">
        <f t="shared" si="12"/>
        <v>16</v>
      </c>
      <c r="I233" s="7" t="s">
        <v>762</v>
      </c>
      <c r="J233" s="10" t="str">
        <f t="shared" si="13"/>
        <v>Lebih dari 2 Periode</v>
      </c>
      <c r="K233" s="11" t="str">
        <f t="shared" si="14"/>
        <v>Berdasarkan Permendikdasmen Nomor 7 Tahun 2025 karena:
Pasal 31. Telah melewati batas periode penugasan</v>
      </c>
      <c r="L233" s="10" t="str">
        <f t="shared" si="15"/>
        <v>Harus Diberhentikan</v>
      </c>
      <c r="M233" s="2"/>
      <c r="N233" s="2"/>
    </row>
    <row r="234" spans="1:14" ht="75" customHeight="1" x14ac:dyDescent="0.35">
      <c r="A234" s="4" t="s">
        <v>492</v>
      </c>
      <c r="B234" s="5" t="s">
        <v>244</v>
      </c>
      <c r="C234" s="6" t="s">
        <v>8</v>
      </c>
      <c r="D234" s="7" t="s">
        <v>10</v>
      </c>
      <c r="E234" s="8" t="s">
        <v>740</v>
      </c>
      <c r="F234" s="7" t="s">
        <v>758</v>
      </c>
      <c r="G234" s="9">
        <v>2010</v>
      </c>
      <c r="H234" s="9">
        <f t="shared" si="12"/>
        <v>16</v>
      </c>
      <c r="I234" s="7" t="s">
        <v>762</v>
      </c>
      <c r="J234" s="10" t="str">
        <f t="shared" si="13"/>
        <v>Lebih dari 2 Periode</v>
      </c>
      <c r="K234" s="11" t="str">
        <f t="shared" si="14"/>
        <v>Berdasarkan Permendikdasmen Nomor 7 Tahun 2025 karena:
Pasal 31. Telah melewati batas periode penugasan
Pasal 32. Belum memiliki sertifikat Pelatihan BCKS</v>
      </c>
      <c r="L234" s="10" t="str">
        <f t="shared" si="15"/>
        <v>Harus Diberhentikan</v>
      </c>
      <c r="M234" s="2"/>
      <c r="N234" s="2"/>
    </row>
    <row r="235" spans="1:14" ht="75" customHeight="1" x14ac:dyDescent="0.35">
      <c r="A235" s="4" t="s">
        <v>493</v>
      </c>
      <c r="B235" s="5" t="s">
        <v>245</v>
      </c>
      <c r="C235" s="6" t="s">
        <v>8</v>
      </c>
      <c r="D235" s="7" t="s">
        <v>10</v>
      </c>
      <c r="E235" s="8" t="s">
        <v>741</v>
      </c>
      <c r="F235" s="7" t="s">
        <v>758</v>
      </c>
      <c r="G235" s="9">
        <v>2017</v>
      </c>
      <c r="H235" s="9">
        <f t="shared" si="12"/>
        <v>9</v>
      </c>
      <c r="I235" s="7" t="s">
        <v>762</v>
      </c>
      <c r="J235" s="10" t="str">
        <f t="shared" si="13"/>
        <v>Lebih dari 2 Periode</v>
      </c>
      <c r="K235" s="11" t="str">
        <f t="shared" si="14"/>
        <v>Berdasarkan Permendikdasmen Nomor 7 Tahun 2025 karena:
Pasal 31. Telah melewati batas periode penugasan
Pasal 32. Belum memiliki sertifikat Pelatihan BCKS</v>
      </c>
      <c r="L235" s="10" t="str">
        <f t="shared" si="15"/>
        <v>Harus Diberhentikan</v>
      </c>
      <c r="M235" s="2"/>
      <c r="N235" s="2"/>
    </row>
    <row r="236" spans="1:14" ht="75" customHeight="1" x14ac:dyDescent="0.35">
      <c r="A236" s="4" t="s">
        <v>494</v>
      </c>
      <c r="B236" s="5" t="s">
        <v>246</v>
      </c>
      <c r="C236" s="6" t="s">
        <v>8</v>
      </c>
      <c r="D236" s="7" t="s">
        <v>9</v>
      </c>
      <c r="E236" s="8" t="s">
        <v>742</v>
      </c>
      <c r="F236" s="7" t="s">
        <v>758</v>
      </c>
      <c r="G236" s="9">
        <v>2017</v>
      </c>
      <c r="H236" s="9">
        <f t="shared" si="12"/>
        <v>9</v>
      </c>
      <c r="I236" s="7" t="s">
        <v>762</v>
      </c>
      <c r="J236" s="10" t="str">
        <f t="shared" si="13"/>
        <v>Lebih dari 2 Periode</v>
      </c>
      <c r="K236" s="11" t="str">
        <f t="shared" si="14"/>
        <v>Berdasarkan Permendikdasmen Nomor 7 Tahun 2025 karena:
Pasal 31. Telah melewati batas periode penugasan
Pasal 32. Belum memiliki sertifikat Pelatihan BCKS</v>
      </c>
      <c r="L236" s="10" t="str">
        <f t="shared" si="15"/>
        <v>Harus Diberhentikan</v>
      </c>
      <c r="M236" s="2"/>
      <c r="N236" s="2"/>
    </row>
    <row r="237" spans="1:14" ht="75" customHeight="1" x14ac:dyDescent="0.35">
      <c r="A237" s="4" t="s">
        <v>495</v>
      </c>
      <c r="B237" s="5" t="s">
        <v>247</v>
      </c>
      <c r="C237" s="6" t="s">
        <v>8</v>
      </c>
      <c r="D237" s="7" t="s">
        <v>10</v>
      </c>
      <c r="E237" s="8" t="s">
        <v>743</v>
      </c>
      <c r="F237" s="7" t="s">
        <v>757</v>
      </c>
      <c r="G237" s="9">
        <v>2017</v>
      </c>
      <c r="H237" s="9">
        <f t="shared" si="12"/>
        <v>9</v>
      </c>
      <c r="I237" s="7" t="s">
        <v>762</v>
      </c>
      <c r="J237" s="10" t="str">
        <f t="shared" si="13"/>
        <v>Lebih dari 2 Periode</v>
      </c>
      <c r="K237" s="11" t="str">
        <f t="shared" si="14"/>
        <v>Berdasarkan Permendikdasmen Nomor 7 Tahun 2025 karena:
Pasal 31. Telah melewati batas periode penugasan</v>
      </c>
      <c r="L237" s="10" t="str">
        <f t="shared" si="15"/>
        <v>Harus Diberhentikan</v>
      </c>
      <c r="M237" s="2"/>
      <c r="N237" s="2"/>
    </row>
    <row r="238" spans="1:14" ht="75" customHeight="1" x14ac:dyDescent="0.35">
      <c r="A238" s="4" t="s">
        <v>496</v>
      </c>
      <c r="B238" s="5" t="s">
        <v>248</v>
      </c>
      <c r="C238" s="6" t="s">
        <v>8</v>
      </c>
      <c r="D238" s="7" t="s">
        <v>9</v>
      </c>
      <c r="E238" s="8" t="s">
        <v>744</v>
      </c>
      <c r="F238" s="7" t="s">
        <v>758</v>
      </c>
      <c r="G238" s="9">
        <v>2017</v>
      </c>
      <c r="H238" s="9">
        <f t="shared" si="12"/>
        <v>9</v>
      </c>
      <c r="I238" s="7" t="s">
        <v>762</v>
      </c>
      <c r="J238" s="10" t="str">
        <f t="shared" si="13"/>
        <v>Lebih dari 2 Periode</v>
      </c>
      <c r="K238" s="11" t="str">
        <f t="shared" si="14"/>
        <v>Berdasarkan Permendikdasmen Nomor 7 Tahun 2025 karena:
Pasal 31. Telah melewati batas periode penugasan
Pasal 32. Belum memiliki sertifikat Pelatihan BCKS</v>
      </c>
      <c r="L238" s="10" t="str">
        <f t="shared" si="15"/>
        <v>Harus Diberhentikan</v>
      </c>
      <c r="M238" s="2"/>
      <c r="N238" s="2"/>
    </row>
    <row r="239" spans="1:14" ht="75" customHeight="1" x14ac:dyDescent="0.35">
      <c r="A239" s="4" t="s">
        <v>497</v>
      </c>
      <c r="B239" s="5" t="s">
        <v>249</v>
      </c>
      <c r="C239" s="6" t="s">
        <v>8</v>
      </c>
      <c r="D239" s="7" t="s">
        <v>10</v>
      </c>
      <c r="E239" s="8" t="s">
        <v>745</v>
      </c>
      <c r="F239" s="7" t="s">
        <v>758</v>
      </c>
      <c r="G239" s="9">
        <v>2017</v>
      </c>
      <c r="H239" s="9">
        <f t="shared" si="12"/>
        <v>9</v>
      </c>
      <c r="I239" s="7" t="s">
        <v>762</v>
      </c>
      <c r="J239" s="10" t="str">
        <f t="shared" si="13"/>
        <v>Lebih dari 2 Periode</v>
      </c>
      <c r="K239" s="11" t="str">
        <f t="shared" si="14"/>
        <v>Berdasarkan Permendikdasmen Nomor 7 Tahun 2025 karena:
Pasal 31. Telah melewati batas periode penugasan
Pasal 32. Belum memiliki sertifikat Pelatihan BCKS</v>
      </c>
      <c r="L239" s="10" t="str">
        <f t="shared" si="15"/>
        <v>Harus Diberhentikan</v>
      </c>
      <c r="M239" s="2"/>
      <c r="N239" s="2"/>
    </row>
    <row r="240" spans="1:14" ht="75" customHeight="1" x14ac:dyDescent="0.35">
      <c r="A240" s="4" t="s">
        <v>498</v>
      </c>
      <c r="B240" s="5" t="s">
        <v>250</v>
      </c>
      <c r="C240" s="6" t="s">
        <v>8</v>
      </c>
      <c r="D240" s="7" t="s">
        <v>9</v>
      </c>
      <c r="E240" s="8" t="s">
        <v>746</v>
      </c>
      <c r="F240" s="7" t="s">
        <v>758</v>
      </c>
      <c r="G240" s="9">
        <v>2017</v>
      </c>
      <c r="H240" s="9">
        <f t="shared" si="12"/>
        <v>9</v>
      </c>
      <c r="I240" s="7" t="s">
        <v>762</v>
      </c>
      <c r="J240" s="10" t="str">
        <f t="shared" si="13"/>
        <v>Lebih dari 2 Periode</v>
      </c>
      <c r="K240" s="11" t="str">
        <f t="shared" si="14"/>
        <v>Berdasarkan Permendikdasmen Nomor 7 Tahun 2025 karena:
Pasal 31. Telah melewati batas periode penugasan
Pasal 32. Belum memiliki sertifikat Pelatihan BCKS</v>
      </c>
      <c r="L240" s="10" t="str">
        <f t="shared" si="15"/>
        <v>Harus Diberhentikan</v>
      </c>
      <c r="M240" s="2"/>
      <c r="N240" s="2"/>
    </row>
    <row r="241" spans="1:14" ht="75" customHeight="1" x14ac:dyDescent="0.35">
      <c r="A241" s="4" t="s">
        <v>499</v>
      </c>
      <c r="B241" s="5" t="s">
        <v>251</v>
      </c>
      <c r="C241" s="6" t="s">
        <v>8</v>
      </c>
      <c r="D241" s="7" t="s">
        <v>9</v>
      </c>
      <c r="E241" s="8" t="s">
        <v>747</v>
      </c>
      <c r="F241" s="7" t="s">
        <v>757</v>
      </c>
      <c r="G241" s="9">
        <v>2017</v>
      </c>
      <c r="H241" s="9">
        <f t="shared" si="12"/>
        <v>9</v>
      </c>
      <c r="I241" s="7" t="s">
        <v>762</v>
      </c>
      <c r="J241" s="10" t="str">
        <f t="shared" si="13"/>
        <v>Lebih dari 2 Periode</v>
      </c>
      <c r="K241" s="11" t="str">
        <f t="shared" si="14"/>
        <v>Berdasarkan Permendikdasmen Nomor 7 Tahun 2025 karena:
Pasal 31. Telah melewati batas periode penugasan</v>
      </c>
      <c r="L241" s="10" t="str">
        <f t="shared" si="15"/>
        <v>Harus Diberhentikan</v>
      </c>
      <c r="M241" s="2"/>
      <c r="N241" s="2"/>
    </row>
    <row r="242" spans="1:14" ht="75" customHeight="1" x14ac:dyDescent="0.35">
      <c r="A242" s="4" t="s">
        <v>500</v>
      </c>
      <c r="B242" s="5" t="s">
        <v>252</v>
      </c>
      <c r="C242" s="6" t="s">
        <v>8</v>
      </c>
      <c r="D242" s="7" t="s">
        <v>9</v>
      </c>
      <c r="E242" s="8" t="s">
        <v>748</v>
      </c>
      <c r="F242" s="7" t="s">
        <v>758</v>
      </c>
      <c r="G242" s="9">
        <v>2023</v>
      </c>
      <c r="H242" s="9">
        <f t="shared" si="12"/>
        <v>3</v>
      </c>
      <c r="I242" s="7" t="s">
        <v>762</v>
      </c>
      <c r="J242" s="10" t="str">
        <f t="shared" si="13"/>
        <v>Periode 1</v>
      </c>
      <c r="K242" s="11" t="str">
        <f t="shared" si="14"/>
        <v>Berdasarkan Permendikdasmen Nomor 7 Tahun 2025 karena:
Pasal 32. Belum memiliki sertifikat Pelatihan BCKS</v>
      </c>
      <c r="L242" s="10" t="str">
        <f t="shared" si="15"/>
        <v>Aktif Periode 1</v>
      </c>
      <c r="M242" s="2"/>
      <c r="N242" s="2"/>
    </row>
    <row r="243" spans="1:14" ht="75" customHeight="1" x14ac:dyDescent="0.35">
      <c r="A243" s="4" t="s">
        <v>501</v>
      </c>
      <c r="B243" s="5" t="s">
        <v>253</v>
      </c>
      <c r="C243" s="6" t="s">
        <v>8</v>
      </c>
      <c r="D243" s="7" t="s">
        <v>10</v>
      </c>
      <c r="E243" s="8" t="s">
        <v>749</v>
      </c>
      <c r="F243" s="7" t="s">
        <v>758</v>
      </c>
      <c r="G243" s="9">
        <v>2023</v>
      </c>
      <c r="H243" s="9">
        <f t="shared" si="12"/>
        <v>3</v>
      </c>
      <c r="I243" s="7" t="s">
        <v>762</v>
      </c>
      <c r="J243" s="10" t="str">
        <f t="shared" si="13"/>
        <v>Periode 1</v>
      </c>
      <c r="K243" s="11" t="str">
        <f t="shared" si="14"/>
        <v>Berdasarkan Permendikdasmen Nomor 7 Tahun 2025 karena:
Pasal 32. Belum memiliki sertifikat Pelatihan BCKS</v>
      </c>
      <c r="L243" s="10" t="str">
        <f t="shared" si="15"/>
        <v>Aktif Periode 1</v>
      </c>
      <c r="M243" s="2"/>
      <c r="N243" s="2"/>
    </row>
    <row r="244" spans="1:14" ht="75" customHeight="1" x14ac:dyDescent="0.35">
      <c r="A244" s="4" t="s">
        <v>502</v>
      </c>
      <c r="B244" s="5" t="s">
        <v>254</v>
      </c>
      <c r="C244" s="6" t="s">
        <v>8</v>
      </c>
      <c r="D244" s="7" t="s">
        <v>9</v>
      </c>
      <c r="E244" s="8" t="s">
        <v>750</v>
      </c>
      <c r="F244" s="7" t="s">
        <v>757</v>
      </c>
      <c r="G244" s="9">
        <v>2023</v>
      </c>
      <c r="H244" s="9">
        <f t="shared" si="12"/>
        <v>3</v>
      </c>
      <c r="I244" s="7" t="s">
        <v>762</v>
      </c>
      <c r="J244" s="10" t="str">
        <f t="shared" si="13"/>
        <v>Periode 1</v>
      </c>
      <c r="K244" s="11" t="str">
        <f t="shared" si="14"/>
        <v>Aman Tanpa Masalah</v>
      </c>
      <c r="L244" s="10" t="str">
        <f t="shared" si="15"/>
        <v>Aktif Periode 1</v>
      </c>
      <c r="M244" s="2"/>
      <c r="N244" s="2"/>
    </row>
    <row r="245" spans="1:14" ht="75" customHeight="1" x14ac:dyDescent="0.35">
      <c r="A245" s="4" t="s">
        <v>503</v>
      </c>
      <c r="B245" s="5" t="s">
        <v>255</v>
      </c>
      <c r="C245" s="6" t="s">
        <v>8</v>
      </c>
      <c r="D245" s="7" t="s">
        <v>10</v>
      </c>
      <c r="E245" s="8" t="s">
        <v>751</v>
      </c>
      <c r="F245" s="7" t="s">
        <v>758</v>
      </c>
      <c r="G245" s="9">
        <v>2023</v>
      </c>
      <c r="H245" s="9">
        <f t="shared" si="12"/>
        <v>3</v>
      </c>
      <c r="I245" s="7" t="s">
        <v>762</v>
      </c>
      <c r="J245" s="10" t="str">
        <f t="shared" si="13"/>
        <v>Periode 1</v>
      </c>
      <c r="K245" s="11" t="str">
        <f t="shared" si="14"/>
        <v>Berdasarkan Permendikdasmen Nomor 7 Tahun 2025 karena:
Pasal 32. Belum memiliki sertifikat Pelatihan BCKS</v>
      </c>
      <c r="L245" s="10" t="str">
        <f t="shared" si="15"/>
        <v>Aktif Periode 1</v>
      </c>
      <c r="M245" s="2"/>
      <c r="N245" s="2"/>
    </row>
    <row r="246" spans="1:14" ht="75" customHeight="1" x14ac:dyDescent="0.35">
      <c r="A246" s="4" t="s">
        <v>504</v>
      </c>
      <c r="B246" s="5" t="s">
        <v>256</v>
      </c>
      <c r="C246" s="6" t="s">
        <v>8</v>
      </c>
      <c r="D246" s="7" t="s">
        <v>9</v>
      </c>
      <c r="E246" s="8" t="s">
        <v>752</v>
      </c>
      <c r="F246" s="7" t="s">
        <v>758</v>
      </c>
      <c r="G246" s="9">
        <v>2023</v>
      </c>
      <c r="H246" s="9">
        <f t="shared" si="12"/>
        <v>3</v>
      </c>
      <c r="I246" s="7" t="s">
        <v>762</v>
      </c>
      <c r="J246" s="10" t="str">
        <f t="shared" si="13"/>
        <v>Periode 1</v>
      </c>
      <c r="K246" s="11" t="str">
        <f t="shared" si="14"/>
        <v>Berdasarkan Permendikdasmen Nomor 7 Tahun 2025 karena:
Pasal 32. Belum memiliki sertifikat Pelatihan BCKS</v>
      </c>
      <c r="L246" s="10" t="str">
        <f t="shared" si="15"/>
        <v>Aktif Periode 1</v>
      </c>
      <c r="M246" s="2"/>
      <c r="N246" s="2"/>
    </row>
    <row r="247" spans="1:14" ht="75" customHeight="1" x14ac:dyDescent="0.35">
      <c r="A247" s="4" t="s">
        <v>505</v>
      </c>
      <c r="B247" s="5" t="s">
        <v>257</v>
      </c>
      <c r="C247" s="6" t="s">
        <v>8</v>
      </c>
      <c r="D247" s="7" t="s">
        <v>9</v>
      </c>
      <c r="E247" s="8" t="s">
        <v>753</v>
      </c>
      <c r="F247" s="7" t="s">
        <v>758</v>
      </c>
      <c r="G247" s="9">
        <v>2022</v>
      </c>
      <c r="H247" s="9">
        <f t="shared" si="12"/>
        <v>4</v>
      </c>
      <c r="I247" s="7" t="s">
        <v>762</v>
      </c>
      <c r="J247" s="10" t="str">
        <f t="shared" si="13"/>
        <v>Periode 2</v>
      </c>
      <c r="K247" s="11" t="str">
        <f t="shared" si="14"/>
        <v>Berdasarkan Permendikdasmen Nomor 7 Tahun 2025 karena:
Pasal 32. Belum memiliki sertifikat Pelatihan BCKS</v>
      </c>
      <c r="L247" s="10" t="str">
        <f t="shared" si="15"/>
        <v>Aktif Periode 2</v>
      </c>
      <c r="M247" s="2"/>
      <c r="N247" s="2"/>
    </row>
    <row r="248" spans="1:14" ht="75" customHeight="1" x14ac:dyDescent="0.35">
      <c r="A248" s="4" t="s">
        <v>506</v>
      </c>
      <c r="B248" s="5" t="s">
        <v>258</v>
      </c>
      <c r="C248" s="6" t="s">
        <v>8</v>
      </c>
      <c r="D248" s="7" t="s">
        <v>9</v>
      </c>
      <c r="E248" s="8" t="s">
        <v>754</v>
      </c>
      <c r="F248" s="7" t="s">
        <v>757</v>
      </c>
      <c r="G248" s="9">
        <v>2022</v>
      </c>
      <c r="H248" s="9">
        <f t="shared" si="12"/>
        <v>4</v>
      </c>
      <c r="I248" s="7" t="s">
        <v>762</v>
      </c>
      <c r="J248" s="10" t="str">
        <f t="shared" si="13"/>
        <v>Periode 2</v>
      </c>
      <c r="K248" s="11" t="str">
        <f t="shared" si="14"/>
        <v>Aman Tanpa Masalah</v>
      </c>
      <c r="L248" s="10" t="str">
        <f t="shared" si="15"/>
        <v>Aktif Periode 2</v>
      </c>
      <c r="M248" s="2"/>
      <c r="N248" s="2"/>
    </row>
    <row r="249" spans="1:14" ht="75" customHeight="1" x14ac:dyDescent="0.35">
      <c r="A249" s="4" t="s">
        <v>507</v>
      </c>
      <c r="B249" s="5" t="s">
        <v>259</v>
      </c>
      <c r="C249" s="6" t="s">
        <v>8</v>
      </c>
      <c r="D249" s="7" t="s">
        <v>9</v>
      </c>
      <c r="E249" s="8" t="s">
        <v>755</v>
      </c>
      <c r="F249" s="7" t="s">
        <v>758</v>
      </c>
      <c r="G249" s="9">
        <v>2022</v>
      </c>
      <c r="H249" s="9">
        <f t="shared" si="12"/>
        <v>4</v>
      </c>
      <c r="I249" s="7" t="s">
        <v>762</v>
      </c>
      <c r="J249" s="10" t="str">
        <f t="shared" si="13"/>
        <v>Periode 2</v>
      </c>
      <c r="K249" s="11" t="str">
        <f t="shared" si="14"/>
        <v>Berdasarkan Permendikdasmen Nomor 7 Tahun 2025 karena:
Pasal 32. Belum memiliki sertifikat Pelatihan BCKS</v>
      </c>
      <c r="L249" s="10" t="str">
        <f t="shared" si="15"/>
        <v>Aktif Periode 2</v>
      </c>
      <c r="M249" s="2"/>
      <c r="N249" s="2"/>
    </row>
  </sheetData>
  <phoneticPr fontId="2" type="noConversion"/>
  <conditionalFormatting sqref="F2:F249">
    <cfRule type="expression" dxfId="20" priority="7">
      <formula>F2="Belum"</formula>
    </cfRule>
    <cfRule type="expression" dxfId="19" priority="8">
      <formula>F2="Sudah"</formula>
    </cfRule>
  </conditionalFormatting>
  <conditionalFormatting sqref="J2:J249">
    <cfRule type="expression" dxfId="18" priority="26">
      <formula>J2="Periode 2"</formula>
    </cfRule>
    <cfRule type="expression" dxfId="17" priority="27">
      <formula>J2="Lebih dari 2 Periode"</formula>
    </cfRule>
  </conditionalFormatting>
  <conditionalFormatting sqref="K2:K249">
    <cfRule type="expression" dxfId="16" priority="11">
      <formula>AND(ISNUMBER(SEARCH("Pasal 31",K2)),ISNUMBER(SEARCH("Pasal 32",K2)))</formula>
    </cfRule>
    <cfRule type="expression" dxfId="15" priority="12">
      <formula>AND(ISNUMBER(SEARCH("Pasal 31",K2)),NOT(ISNUMBER(SEARCH("Pasal 32",K2))))</formula>
    </cfRule>
    <cfRule type="expression" dxfId="14" priority="13">
      <formula>AND(ISNUMBER(SEARCH("Pasal 32",K2)),NOT(ISNUMBER(SEARCH("Pasal 31",K2))))</formula>
    </cfRule>
    <cfRule type="expression" dxfId="13" priority="14">
      <formula>K2="Aman Tanpa Masalah"</formula>
    </cfRule>
    <cfRule type="expression" priority="20">
      <formula>K2="Aman Tanpa Masalah"</formula>
    </cfRule>
  </conditionalFormatting>
  <conditionalFormatting sqref="L2:L249">
    <cfRule type="expression" dxfId="12" priority="1">
      <formula>L2="Harus Diberhentikan"</formula>
    </cfRule>
    <cfRule type="expression" dxfId="11" priority="2">
      <formula>L2="Aktif Periode 2"</formula>
    </cfRule>
    <cfRule type="expression" dxfId="10" priority="3">
      <formula>L2="Aktif Periode 1"</formula>
    </cfRule>
  </conditionalFormatting>
  <conditionalFormatting sqref="L2:N249">
    <cfRule type="expression" dxfId="9" priority="28">
      <formula>ISNUMBER(SEARCH("Pensiun",L2))</formula>
    </cfRule>
  </conditionalFormatting>
  <conditionalFormatting sqref="O1:O5">
    <cfRule type="expression" dxfId="8" priority="21">
      <formula>O2="Pasal 31 &amp; Pasal 32"</formula>
    </cfRule>
    <cfRule type="expression" dxfId="7" priority="22">
      <formula>O2="Pasal 31"</formula>
    </cfRule>
    <cfRule type="expression" dxfId="6" priority="23">
      <formula>O2="Pasal 32"</formula>
    </cfRule>
    <cfRule type="expression" dxfId="5" priority="24">
      <formula>O2="Aman Tanpa Masalah"</formula>
    </cfRule>
  </conditionalFormatting>
  <conditionalFormatting sqref="Q2:Q3">
    <cfRule type="expression" dxfId="4" priority="9">
      <formula>"Belum"</formula>
    </cfRule>
    <cfRule type="expression" dxfId="3" priority="10">
      <formula>"Sudah"</formula>
    </cfRule>
  </conditionalFormatting>
  <conditionalFormatting sqref="V2:V4">
    <cfRule type="expression" dxfId="2" priority="4">
      <formula>"Harus Diberhentikan"</formula>
    </cfRule>
    <cfRule type="expression" dxfId="1" priority="5">
      <formula>"Aktif Periode 2"</formula>
    </cfRule>
    <cfRule type="expression" dxfId="0" priority="6">
      <formula>"Aktif Periode 1"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Dashboard_Kepala_Sekolah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Mhd Aripin Ritonga</cp:lastModifiedBy>
  <dcterms:created xsi:type="dcterms:W3CDTF">2026-01-23T02:03:53Z</dcterms:created>
  <dcterms:modified xsi:type="dcterms:W3CDTF">2026-02-02T06:00:08Z</dcterms:modified>
</cp:coreProperties>
</file>